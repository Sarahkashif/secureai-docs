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come Statement" sheetId="2" state="visible" r:id="rId4"/>
    <sheet name="Balance Sheet" sheetId="3" state="visible" r:id="rId5"/>
    <sheet name="Cash Flow" sheetId="4" state="visible" r:id="rId6"/>
    <sheet name="Payroll Reconciliation" sheetId="5" state="visible" r:id="rId7"/>
    <sheet name="Assump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<sst xmlns="http://schemas.openxmlformats.org/spreadsheetml/2006/main" count="182" uniqueCount="163">
  <si>
    <t xml:space="preserve">Nexora Technologies Ltd. — Financial Summary</t>
  </si>
  <si>
    <t xml:space="preserve">CONFIDENTIAL – Board of Directors, CEO and CFO only. Amounts in USD. Fictional test data. Blue = hardcoded input, black = formula, green = link to another sheet.</t>
  </si>
  <si>
    <t xml:space="preserve">Key metric</t>
  </si>
  <si>
    <t xml:space="preserve">FY2024</t>
  </si>
  <si>
    <t xml:space="preserve">FY2025</t>
  </si>
  <si>
    <t xml:space="preserve">2026 YTD (9M)</t>
  </si>
  <si>
    <t xml:space="preserve">Revenue</t>
  </si>
  <si>
    <t xml:space="preserve">Gross profit</t>
  </si>
  <si>
    <t xml:space="preserve">Operating profit (EBIT)</t>
  </si>
  <si>
    <t xml:space="preserve">Net profit</t>
  </si>
  <si>
    <t xml:space="preserve">Gross margin</t>
  </si>
  <si>
    <t xml:space="preserve">Operating margin</t>
  </si>
  <si>
    <t xml:space="preserve">Net margin</t>
  </si>
  <si>
    <t xml:space="preserve">Total salary cost (3 salary lines)</t>
  </si>
  <si>
    <t xml:space="preserve">Salary cost as % of revenue</t>
  </si>
  <si>
    <t xml:space="preserve">Revenue per employee (annualised)</t>
  </si>
  <si>
    <t xml:space="preserve">Cash balance (period end)</t>
  </si>
  <si>
    <t xml:space="preserve">Current ratio</t>
  </si>
  <si>
    <t xml:space="preserve">Total bank debt</t>
  </si>
  <si>
    <t xml:space="preserve">Debt-to-equity</t>
  </si>
  <si>
    <t xml:space="preserve">Days sales outstanding (DSO)</t>
  </si>
  <si>
    <t xml:space="preserve">Model integrity checks</t>
  </si>
  <si>
    <t xml:space="preserve">Balance sheet balances (all 3 dates)</t>
  </si>
  <si>
    <t xml:space="preserve">Cash flow ties to balance sheet</t>
  </si>
  <si>
    <t xml:space="preserve">Payroll ties to Payroll Register ($217,500.00 gross)</t>
  </si>
  <si>
    <t xml:space="preserve">Q3 salary lines tie to September payroll</t>
  </si>
  <si>
    <t xml:space="preserve">Income Statement</t>
  </si>
  <si>
    <t xml:space="preserve">USD</t>
  </si>
  <si>
    <t xml:space="preserve">Q1 2026</t>
  </si>
  <si>
    <t xml:space="preserve">Q2 2026</t>
  </si>
  <si>
    <t xml:space="preserve">Q3 2026</t>
  </si>
  <si>
    <t xml:space="preserve">2026 Annualised</t>
  </si>
  <si>
    <t xml:space="preserve">Annualised vs FY2025</t>
  </si>
  <si>
    <t xml:space="preserve">REVENUE</t>
  </si>
  <si>
    <t xml:space="preserve">   Software Development</t>
  </si>
  <si>
    <t xml:space="preserve">   IT Support &amp; Managed Services</t>
  </si>
  <si>
    <t xml:space="preserve">   Digital Marketing Services</t>
  </si>
  <si>
    <t xml:space="preserve">   Consulting</t>
  </si>
  <si>
    <t xml:space="preserve">Total Revenue</t>
  </si>
  <si>
    <t xml:space="preserve">COST OF REVENUE</t>
  </si>
  <si>
    <t xml:space="preserve">   Delivery team salaries (Technology)</t>
  </si>
  <si>
    <t xml:space="preserve">   Cloud hosting &amp; third-party licences</t>
  </si>
  <si>
    <t xml:space="preserve">   Subcontractors</t>
  </si>
  <si>
    <t xml:space="preserve">Total Cost of Revenue</t>
  </si>
  <si>
    <t xml:space="preserve">Gross Profit</t>
  </si>
  <si>
    <t xml:space="preserve">Gross margin %</t>
  </si>
  <si>
    <t xml:space="preserve">OPERATING EXPENSES</t>
  </si>
  <si>
    <t xml:space="preserve">   Sales &amp; Marketing salaries</t>
  </si>
  <si>
    <t xml:space="preserve">   G&amp;A salaries (Executive, Finance, HR, Operations)</t>
  </si>
  <si>
    <t xml:space="preserve">   Rent &amp; facilities</t>
  </si>
  <si>
    <t xml:space="preserve">   Utilities &amp; internet</t>
  </si>
  <si>
    <t xml:space="preserve">   Software &amp; subscriptions</t>
  </si>
  <si>
    <t xml:space="preserve">   Marketing &amp; advertising</t>
  </si>
  <si>
    <t xml:space="preserve">   Travel &amp; entertainment</t>
  </si>
  <si>
    <t xml:space="preserve">   Professional fees (legal, audit)</t>
  </si>
  <si>
    <t xml:space="preserve">   Group health insurance (employer share)</t>
  </si>
  <si>
    <t xml:space="preserve">   Training &amp; development</t>
  </si>
  <si>
    <t xml:space="preserve">   Office supplies &amp; pantry</t>
  </si>
  <si>
    <t xml:space="preserve">   Depreciation</t>
  </si>
  <si>
    <t xml:space="preserve">   Other expenses</t>
  </si>
  <si>
    <t xml:space="preserve">Total Operating Expenses</t>
  </si>
  <si>
    <t xml:space="preserve">Operating Profit (EBIT)</t>
  </si>
  <si>
    <t xml:space="preserve">Operating margin %</t>
  </si>
  <si>
    <t xml:space="preserve">   Interest expense</t>
  </si>
  <si>
    <t xml:space="preserve">Profit Before Tax</t>
  </si>
  <si>
    <t xml:space="preserve">Income tax</t>
  </si>
  <si>
    <t xml:space="preserve">Net Profit</t>
  </si>
  <si>
    <t xml:space="preserve">Net margin %</t>
  </si>
  <si>
    <t xml:space="preserve">Balance Sheet</t>
  </si>
  <si>
    <t xml:space="preserve">31 Dec 2024</t>
  </si>
  <si>
    <t xml:space="preserve">31 Dec 2025</t>
  </si>
  <si>
    <t xml:space="preserve">30 Sep 2026</t>
  </si>
  <si>
    <t xml:space="preserve">ASSETS</t>
  </si>
  <si>
    <t xml:space="preserve">Cash &amp; equivalents (derived)</t>
  </si>
  <si>
    <t xml:space="preserve">Accounts receivable</t>
  </si>
  <si>
    <t xml:space="preserve">Prepaid &amp; other current assets</t>
  </si>
  <si>
    <t xml:space="preserve">Total current assets</t>
  </si>
  <si>
    <t xml:space="preserve">Equipment &amp; fixtures (net)</t>
  </si>
  <si>
    <t xml:space="preserve">TOTAL ASSETS</t>
  </si>
  <si>
    <t xml:space="preserve">LIABILITIES</t>
  </si>
  <si>
    <t xml:space="preserve">Accounts payable</t>
  </si>
  <si>
    <t xml:space="preserve">Accrued salaries &amp; expenses</t>
  </si>
  <si>
    <t xml:space="preserve">Income tax payable</t>
  </si>
  <si>
    <t xml:space="preserve">Current portion of bank loan</t>
  </si>
  <si>
    <t xml:space="preserve">Total current liabilities</t>
  </si>
  <si>
    <t xml:space="preserve">Long-term bank loan</t>
  </si>
  <si>
    <t xml:space="preserve">Total Liabilities</t>
  </si>
  <si>
    <t xml:space="preserve">EQUITY</t>
  </si>
  <si>
    <t xml:space="preserve">Share capital</t>
  </si>
  <si>
    <t xml:space="preserve">Retained earnings</t>
  </si>
  <si>
    <t xml:space="preserve">Total Equity</t>
  </si>
  <si>
    <t xml:space="preserve">TOTAL LIABILITIES &amp; EQUITY</t>
  </si>
  <si>
    <t xml:space="preserve">Balance check (Assets – L&amp;E, must be 0)</t>
  </si>
  <si>
    <t xml:space="preserve">Cash Flow Statement (indirect method)</t>
  </si>
  <si>
    <t xml:space="preserve">Add: Depreciation</t>
  </si>
  <si>
    <t xml:space="preserve">(Increase)/decrease in accounts receivable</t>
  </si>
  <si>
    <t xml:space="preserve">(Increase)/decrease in prepaid &amp; other</t>
  </si>
  <si>
    <t xml:space="preserve">Increase/(decrease) in accounts payable</t>
  </si>
  <si>
    <t xml:space="preserve">Increase/(decrease) in accrued expenses</t>
  </si>
  <si>
    <t xml:space="preserve">Increase/(decrease) in income tax payable</t>
  </si>
  <si>
    <t xml:space="preserve">Net cash from operating activities</t>
  </si>
  <si>
    <t xml:space="preserve">INVESTING ACTIVITIES</t>
  </si>
  <si>
    <t xml:space="preserve">Purchase of equipment (net of disposals)</t>
  </si>
  <si>
    <t xml:space="preserve">Net cash used in investing activities</t>
  </si>
  <si>
    <t xml:space="preserve">FINANCING ACTIVITIES</t>
  </si>
  <si>
    <t xml:space="preserve">Bank loan repayments</t>
  </si>
  <si>
    <t xml:space="preserve">Dividends paid</t>
  </si>
  <si>
    <t xml:space="preserve">Net cash used in financing activities</t>
  </si>
  <si>
    <t xml:space="preserve">Net change in cash</t>
  </si>
  <si>
    <t xml:space="preserve">Opening cash</t>
  </si>
  <si>
    <t xml:space="preserve">Closing cash</t>
  </si>
  <si>
    <t xml:space="preserve">Check vs Balance Sheet (must be 0)</t>
  </si>
  <si>
    <t xml:space="preserve">Payroll Reconciliation – September 2026</t>
  </si>
  <si>
    <t xml:space="preserve">Department</t>
  </si>
  <si>
    <t xml:space="preserve">Employees</t>
  </si>
  <si>
    <t xml:space="preserve">Gross Pay (Sep 2026)</t>
  </si>
  <si>
    <t xml:space="preserve">Net Pay (Sep 2026)</t>
  </si>
  <si>
    <t xml:space="preserve">Mapped to P&amp;L line</t>
  </si>
  <si>
    <t xml:space="preserve">Executive</t>
  </si>
  <si>
    <t xml:space="preserve">G&amp;A salaries</t>
  </si>
  <si>
    <t xml:space="preserve">Finance</t>
  </si>
  <si>
    <t xml:space="preserve">Human Resources</t>
  </si>
  <si>
    <t xml:space="preserve">Operations</t>
  </si>
  <si>
    <t xml:space="preserve">Sales</t>
  </si>
  <si>
    <t xml:space="preserve">Sales &amp; Marketing salaries</t>
  </si>
  <si>
    <t xml:space="preserve">Marketing</t>
  </si>
  <si>
    <t xml:space="preserve">Technology</t>
  </si>
  <si>
    <t xml:space="preserve">Delivery team salaries</t>
  </si>
  <si>
    <t xml:space="preserve">Total</t>
  </si>
  <si>
    <t xml:space="preserve">Per Payroll Register (file 02) – gross</t>
  </si>
  <si>
    <t xml:space="preserve">Difference (must be 0)</t>
  </si>
  <si>
    <t xml:space="preserve">P&amp;L line</t>
  </si>
  <si>
    <t xml:space="preserve">Q3 2026 per Income Statement</t>
  </si>
  <si>
    <t xml:space="preserve">3 × Sep 2026 gross</t>
  </si>
  <si>
    <t xml:space="preserve">Delivery team salaries (Technology)</t>
  </si>
  <si>
    <t xml:space="preserve">G&amp;A salaries (Exec, Finance, HR, Ops)</t>
  </si>
  <si>
    <t xml:space="preserve">Annualised gross payroll (Sep gross × 12)</t>
  </si>
  <si>
    <t xml:space="preserve">Annualised payroll as % of annualised revenue</t>
  </si>
  <si>
    <t xml:space="preserve">Assumptions &amp; Notes</t>
  </si>
  <si>
    <t xml:space="preserve">Assumption</t>
  </si>
  <si>
    <t xml:space="preserve">Value</t>
  </si>
  <si>
    <t xml:space="preserve">Notes</t>
  </si>
  <si>
    <t xml:space="preserve">Income tax rate</t>
  </si>
  <si>
    <t xml:space="preserve">Applied to profit before tax; no tax credit on losses.</t>
  </si>
  <si>
    <t xml:space="preserve">Headcount (employees)</t>
  </si>
  <si>
    <t xml:space="preserve">Per Employee Database.</t>
  </si>
  <si>
    <t xml:space="preserve">Days in 2026 YTD period (1 Jan–30 Sep)</t>
  </si>
  <si>
    <t xml:space="preserve">Used for DSO.</t>
  </si>
  <si>
    <t xml:space="preserve">Dividends paid – FY2025</t>
  </si>
  <si>
    <t xml:space="preserve">Declared and paid in cash.</t>
  </si>
  <si>
    <t xml:space="preserve">Dividends paid – 2026 YTD</t>
  </si>
  <si>
    <t xml:space="preserve">Interim dividends paid Jan–Sep 2026.</t>
  </si>
  <si>
    <t xml:space="preserve">Retained earnings at 31 Dec 2023</t>
  </si>
  <si>
    <t xml:space="preserve">Opening balance.</t>
  </si>
  <si>
    <t xml:space="preserve">Share capital (unchanged)</t>
  </si>
  <si>
    <t xml:space="preserve">No share issues in the period.</t>
  </si>
  <si>
    <t xml:space="preserve">Dividends paid – FY2024</t>
  </si>
  <si>
    <t xml:space="preserve">Notes:</t>
  </si>
  <si>
    <t xml:space="preserve">1. Financial year = calendar year. FY2024 and FY2025 are full-year figures; 2026 shows Q1–Q3 (January–September) and year-to-date.</t>
  </si>
  <si>
    <t xml:space="preserve">2. Salary lines for Q3 2026 equal 3 × the September 2026 gross payroll in the Payroll Register (assumes July and August payroll equal September). Q1/Q2 and prior years are scaled estimates.</t>
  </si>
  <si>
    <t xml:space="preserve">3. Cash is derived so that the balance sheet balances (Total Liabilities &amp; Equity less other assets); reconcile to bank statements in a real close.</t>
  </si>
  <si>
    <t xml:space="preserve">4. All other revenue and expense figures are illustrative inputs created for testing; they are not real company data.</t>
  </si>
  <si>
    <t xml:space="preserve">5. Group health insurance (employer share) is assumed at $150 per employee per month; the employee deduction of $75 is shown on payslips.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</si>
</sst>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0.00\x"/>
    <numFmt numFmtId="168" formatCode="0"/>
    <numFmt numFmtId="169" formatCode="#,##0.00;\(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FFFFFF"/>
      </patternFill>
    </fill>
    <fill>
      <patternFill patternType="solid">
        <fgColor rgb="FFD9E2F3"/>
        <bgColor rgb="FFEE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'Income Statement'!B10</f>
        <v>3950000</v>
      </c>
      <c r="C5" s="6" t="n">
        <f aca="false">'Income Statement'!C10</f>
        <v>4500000</v>
      </c>
      <c r="D5" s="6" t="n">
        <f aca="false">'Income Statement'!G10</f>
        <v>3630000</v>
      </c>
    </row>
    <row r="6" customFormat="false" ht="15" hidden="false" customHeight="false" outlineLevel="0" collapsed="false">
      <c r="A6" s="7" t="s">
        <v>7</v>
      </c>
      <c r="B6" s="8" t="n">
        <f aca="false">'Income Statement'!B17</f>
        <v>2662300</v>
      </c>
      <c r="C6" s="8" t="n">
        <f aca="false">'Income Statement'!C17</f>
        <v>3090700</v>
      </c>
      <c r="D6" s="8" t="n">
        <f aca="false">'Income Statement'!G17</f>
        <v>2531399.98</v>
      </c>
    </row>
    <row r="7" customFormat="false" ht="15" hidden="false" customHeight="false" outlineLevel="0" collapsed="false">
      <c r="A7" s="5" t="s">
        <v>8</v>
      </c>
      <c r="B7" s="6" t="n">
        <f aca="false">'Income Statement'!B36</f>
        <v>199000</v>
      </c>
      <c r="C7" s="6" t="n">
        <f aca="false">'Income Statement'!C36</f>
        <v>461500</v>
      </c>
      <c r="D7" s="6" t="n">
        <f aca="false">'Income Statement'!G36</f>
        <v>491900</v>
      </c>
    </row>
    <row r="8" customFormat="false" ht="15" hidden="false" customHeight="false" outlineLevel="0" collapsed="false">
      <c r="A8" s="7" t="s">
        <v>9</v>
      </c>
      <c r="B8" s="8" t="n">
        <f aca="false">'Income Statement'!B41</f>
        <v>129000</v>
      </c>
      <c r="C8" s="8" t="n">
        <f aca="false">'Income Statement'!C41</f>
        <v>327000</v>
      </c>
      <c r="D8" s="8" t="n">
        <f aca="false">'Income Statement'!G41</f>
        <v>354750</v>
      </c>
    </row>
    <row r="9" customFormat="false" ht="15" hidden="false" customHeight="false" outlineLevel="0" collapsed="false">
      <c r="A9" s="9" t="s">
        <v>10</v>
      </c>
      <c r="B9" s="10" t="n">
        <f aca="false">'Income Statement'!B18</f>
        <v>0.674</v>
      </c>
      <c r="C9" s="10" t="n">
        <f aca="false">'Income Statement'!C18</f>
        <v>0.686822222222222</v>
      </c>
      <c r="D9" s="10" t="n">
        <f aca="false">'Income Statement'!G18</f>
        <v>0.697355366391185</v>
      </c>
    </row>
    <row r="10" customFormat="false" ht="15" hidden="false" customHeight="false" outlineLevel="0" collapsed="false">
      <c r="A10" s="11" t="s">
        <v>11</v>
      </c>
      <c r="B10" s="12" t="n">
        <f aca="false">'Income Statement'!B37</f>
        <v>0.050379746835443</v>
      </c>
      <c r="C10" s="12" t="n">
        <f aca="false">'Income Statement'!C37</f>
        <v>0.102555555555556</v>
      </c>
      <c r="D10" s="12" t="n">
        <f aca="false">'Income Statement'!G37</f>
        <v>0.135509641873278</v>
      </c>
    </row>
    <row r="11" customFormat="false" ht="15" hidden="false" customHeight="false" outlineLevel="0" collapsed="false">
      <c r="A11" s="9" t="s">
        <v>12</v>
      </c>
      <c r="B11" s="10" t="n">
        <f aca="false">'Income Statement'!B42</f>
        <v>0.0326582278481013</v>
      </c>
      <c r="C11" s="10" t="n">
        <f aca="false">'Income Statement'!C42</f>
        <v>0.0726666666666667</v>
      </c>
      <c r="D11" s="10" t="n">
        <f aca="false">'Income Statement'!G42</f>
        <v>0.0977272727272727</v>
      </c>
    </row>
    <row r="12" customFormat="false" ht="15" hidden="false" customHeight="false" outlineLevel="0" collapsed="false">
      <c r="A12" s="11" t="s">
        <v>13</v>
      </c>
      <c r="B12" s="13" t="n">
        <f aca="false">'Income Statement'!B13+'Income Statement'!B21+'Income Statement'!B22</f>
        <v>2349000</v>
      </c>
      <c r="C12" s="13" t="n">
        <f aca="false">'Income Statement'!C13+'Income Statement'!C21+'Income Statement'!C22</f>
        <v>2479500</v>
      </c>
      <c r="D12" s="13" t="n">
        <f aca="false">'Income Statement'!G13+'Income Statement'!G21+'Income Statement'!G22</f>
        <v>1911900</v>
      </c>
    </row>
    <row r="13" customFormat="false" ht="15" hidden="false" customHeight="false" outlineLevel="0" collapsed="false">
      <c r="A13" s="9" t="s">
        <v>14</v>
      </c>
      <c r="B13" s="10" t="n">
        <f aca="false">B12/B5</f>
        <v>0.594683544303797</v>
      </c>
      <c r="C13" s="10" t="n">
        <f aca="false">C12/C5</f>
        <v>0.551</v>
      </c>
      <c r="D13" s="10" t="n">
        <f aca="false">D12/D5</f>
        <v>0.526694214876033</v>
      </c>
    </row>
    <row r="14" customFormat="false" ht="15" hidden="false" customHeight="false" outlineLevel="0" collapsed="false">
      <c r="A14" s="11" t="s">
        <v>15</v>
      </c>
      <c r="B14" s="13" t="n">
        <f aca="false">B5/Assumptions!$B$6</f>
        <v>197500</v>
      </c>
      <c r="C14" s="13" t="n">
        <f aca="false">C5/Assumptions!$B$6</f>
        <v>225000</v>
      </c>
      <c r="D14" s="13" t="n">
        <f aca="false">D5/9*12/Assumptions!$B$6</f>
        <v>242000</v>
      </c>
    </row>
    <row r="15" customFormat="false" ht="15" hidden="false" customHeight="false" outlineLevel="0" collapsed="false">
      <c r="A15" s="9" t="s">
        <v>16</v>
      </c>
      <c r="B15" s="14" t="n">
        <f aca="false">'Balance Sheet'!B6</f>
        <v>1061000</v>
      </c>
      <c r="C15" s="14" t="n">
        <f aca="false">'Balance Sheet'!C6</f>
        <v>1151000</v>
      </c>
      <c r="D15" s="14" t="n">
        <f aca="false">'Balance Sheet'!D6</f>
        <v>1350750</v>
      </c>
    </row>
    <row r="16" customFormat="false" ht="15" hidden="false" customHeight="false" outlineLevel="0" collapsed="false">
      <c r="A16" s="11" t="s">
        <v>17</v>
      </c>
      <c r="B16" s="15" t="n">
        <f aca="false">'Balance Sheet'!B9/'Balance Sheet'!B18</f>
        <v>3.87696335078534</v>
      </c>
      <c r="C16" s="15" t="n">
        <f aca="false">'Balance Sheet'!C9/'Balance Sheet'!C18</f>
        <v>3.88</v>
      </c>
      <c r="D16" s="15" t="n">
        <f aca="false">'Balance Sheet'!D9/'Balance Sheet'!D18</f>
        <v>3.97061855670103</v>
      </c>
    </row>
    <row r="17" customFormat="false" ht="15" hidden="false" customHeight="false" outlineLevel="0" collapsed="false">
      <c r="A17" s="9" t="s">
        <v>18</v>
      </c>
      <c r="B17" s="14" t="n">
        <f aca="false">'Balance Sheet'!B17+'Balance Sheet'!B19</f>
        <v>240000</v>
      </c>
      <c r="C17" s="14" t="n">
        <f aca="false">'Balance Sheet'!C17+'Balance Sheet'!C19</f>
        <v>180000</v>
      </c>
      <c r="D17" s="14" t="n">
        <f aca="false">'Balance Sheet'!D17+'Balance Sheet'!D19</f>
        <v>135000</v>
      </c>
    </row>
    <row r="18" customFormat="false" ht="15" hidden="false" customHeight="false" outlineLevel="0" collapsed="false">
      <c r="A18" s="11" t="s">
        <v>19</v>
      </c>
      <c r="B18" s="15" t="n">
        <f aca="false">B17/'Balance Sheet'!B25</f>
        <v>0.212577502214349</v>
      </c>
      <c r="C18" s="15" t="n">
        <f aca="false">C17/'Balance Sheet'!C25</f>
        <v>0.134730538922156</v>
      </c>
      <c r="D18" s="15" t="n">
        <f aca="false">D17/'Balance Sheet'!D25</f>
        <v>0.0843354677494924</v>
      </c>
    </row>
    <row r="19" customFormat="false" ht="15" hidden="false" customHeight="false" outlineLevel="0" collapsed="false">
      <c r="A19" s="9" t="s">
        <v>20</v>
      </c>
      <c r="B19" s="16" t="n">
        <f aca="false">'Balance Sheet'!B7/B5*365</f>
        <v>35.1139240506329</v>
      </c>
      <c r="C19" s="16" t="n">
        <f aca="false">'Balance Sheet'!C7/C5*365</f>
        <v>36.5</v>
      </c>
      <c r="D19" s="16" t="n">
        <f aca="false">'Balance Sheet'!D7/D5*Assumptions!$B$7</f>
        <v>39.1074380165289</v>
      </c>
    </row>
    <row r="21" customFormat="false" ht="15" hidden="false" customHeight="false" outlineLevel="0" collapsed="false">
      <c r="A21" s="17" t="s">
        <v>21</v>
      </c>
    </row>
    <row r="22" customFormat="false" ht="15" hidden="false" customHeight="false" outlineLevel="0" collapsed="false">
      <c r="A22" s="9" t="s">
        <v>22</v>
      </c>
      <c r="B22" s="18" t="str">
        <f aca="false">IF(AND('Balance Sheet'!B27=0,'Balance Sheet'!C27=0,'Balance Sheet'!D27=0),"OK","CHECK")</f>
        <v>OK</v>
      </c>
    </row>
    <row r="23" customFormat="false" ht="15" hidden="false" customHeight="false" outlineLevel="0" collapsed="false">
      <c r="A23" s="9" t="s">
        <v>23</v>
      </c>
      <c r="B23" s="18" t="str">
        <f aca="false">IF(AND('Cash Flow'!B23=0,'Cash Flow'!C23=0),"OK","CHECK")</f>
        <v>OK</v>
      </c>
    </row>
    <row r="24" customFormat="false" ht="15" hidden="false" customHeight="false" outlineLevel="0" collapsed="false">
      <c r="A24" s="9" t="s">
        <v>24</v>
      </c>
      <c r="B24" s="18" t="str">
        <f aca="false">IF('Payroll Reconciliation'!C14=0,"OK","CHECK")</f>
        <v>OK</v>
      </c>
    </row>
    <row r="25" customFormat="false" ht="15" hidden="false" customHeight="false" outlineLevel="0" collapsed="false">
      <c r="A25" s="9" t="s">
        <v>25</v>
      </c>
      <c r="B25" s="18" t="str">
        <f aca="false">IF(AND('Payroll Reconciliation'!E18=0,'Payroll Reconciliation'!E19=0,'Payroll Reconciliation'!E20=0),"OK","CHECK")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9" min="2" style="0" width="14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27</v>
      </c>
      <c r="B4" s="4" t="s">
        <v>3</v>
      </c>
      <c r="C4" s="4" t="s">
        <v>4</v>
      </c>
      <c r="D4" s="4" t="s">
        <v>28</v>
      </c>
      <c r="E4" s="4" t="s">
        <v>29</v>
      </c>
      <c r="F4" s="4" t="s">
        <v>30</v>
      </c>
      <c r="G4" s="4" t="s">
        <v>5</v>
      </c>
      <c r="H4" s="4" t="s">
        <v>31</v>
      </c>
      <c r="I4" s="4" t="s">
        <v>32</v>
      </c>
    </row>
    <row r="5" customFormat="false" ht="15" hidden="false" customHeight="false" outlineLevel="0" collapsed="false">
      <c r="A5" s="19" t="s">
        <v>33</v>
      </c>
      <c r="B5" s="20"/>
      <c r="C5" s="20"/>
      <c r="D5" s="20"/>
      <c r="E5" s="20"/>
      <c r="F5" s="20"/>
      <c r="G5" s="20"/>
      <c r="H5" s="20"/>
      <c r="I5" s="21"/>
    </row>
    <row r="6" customFormat="false" ht="15" hidden="false" customHeight="false" outlineLevel="0" collapsed="false">
      <c r="A6" s="9" t="s">
        <v>34</v>
      </c>
      <c r="B6" s="22" t="n">
        <v>2000000</v>
      </c>
      <c r="C6" s="22" t="n">
        <v>2280000</v>
      </c>
      <c r="D6" s="22" t="n">
        <v>580000</v>
      </c>
      <c r="E6" s="22" t="n">
        <v>615000</v>
      </c>
      <c r="F6" s="22" t="n">
        <v>650000</v>
      </c>
      <c r="G6" s="14" t="n">
        <f aca="false">SUM(D6:F6)</f>
        <v>1845000</v>
      </c>
      <c r="H6" s="14" t="n">
        <f aca="false">G6/9*12</f>
        <v>2460000</v>
      </c>
      <c r="I6" s="10" t="n">
        <f aca="false">IF(C6=0,0,H6/C6-1)</f>
        <v>0.0789473684210527</v>
      </c>
    </row>
    <row r="7" customFormat="false" ht="15" hidden="false" customHeight="false" outlineLevel="0" collapsed="false">
      <c r="A7" s="9" t="s">
        <v>35</v>
      </c>
      <c r="B7" s="22" t="n">
        <v>920000</v>
      </c>
      <c r="C7" s="22" t="n">
        <v>1050000</v>
      </c>
      <c r="D7" s="22" t="n">
        <v>270000</v>
      </c>
      <c r="E7" s="22" t="n">
        <v>285000</v>
      </c>
      <c r="F7" s="22" t="n">
        <v>300000</v>
      </c>
      <c r="G7" s="14" t="n">
        <f aca="false">SUM(D7:F7)</f>
        <v>855000</v>
      </c>
      <c r="H7" s="14" t="n">
        <f aca="false">G7/9*12</f>
        <v>1140000</v>
      </c>
      <c r="I7" s="10" t="n">
        <f aca="false">IF(C7=0,0,H7/C7-1)</f>
        <v>0.0857142857142856</v>
      </c>
    </row>
    <row r="8" customFormat="false" ht="15" hidden="false" customHeight="false" outlineLevel="0" collapsed="false">
      <c r="A8" s="9" t="s">
        <v>36</v>
      </c>
      <c r="B8" s="22" t="n">
        <v>600000</v>
      </c>
      <c r="C8" s="22" t="n">
        <v>690000</v>
      </c>
      <c r="D8" s="22" t="n">
        <v>170000</v>
      </c>
      <c r="E8" s="22" t="n">
        <v>185000</v>
      </c>
      <c r="F8" s="22" t="n">
        <v>200000</v>
      </c>
      <c r="G8" s="14" t="n">
        <f aca="false">SUM(D8:F8)</f>
        <v>555000</v>
      </c>
      <c r="H8" s="14" t="n">
        <f aca="false">G8/9*12</f>
        <v>740000</v>
      </c>
      <c r="I8" s="10" t="n">
        <f aca="false">IF(C8=0,0,H8/C8-1)</f>
        <v>0.0724637681159421</v>
      </c>
    </row>
    <row r="9" customFormat="false" ht="15" hidden="false" customHeight="false" outlineLevel="0" collapsed="false">
      <c r="A9" s="9" t="s">
        <v>37</v>
      </c>
      <c r="B9" s="22" t="n">
        <v>430000</v>
      </c>
      <c r="C9" s="22" t="n">
        <v>480000</v>
      </c>
      <c r="D9" s="22" t="n">
        <v>120000</v>
      </c>
      <c r="E9" s="22" t="n">
        <v>125000</v>
      </c>
      <c r="F9" s="22" t="n">
        <v>130000</v>
      </c>
      <c r="G9" s="14" t="n">
        <f aca="false">SUM(D9:F9)</f>
        <v>375000</v>
      </c>
      <c r="H9" s="14" t="n">
        <f aca="false">G9/9*12</f>
        <v>500000</v>
      </c>
      <c r="I9" s="10" t="n">
        <f aca="false">IF(C9=0,0,H9/C9-1)</f>
        <v>0.0416666666666667</v>
      </c>
    </row>
    <row r="10" customFormat="false" ht="15" hidden="false" customHeight="false" outlineLevel="0" collapsed="false">
      <c r="A10" s="7" t="s">
        <v>38</v>
      </c>
      <c r="B10" s="8" t="n">
        <f aca="false">SUM(B6:B9)</f>
        <v>3950000</v>
      </c>
      <c r="C10" s="8" t="n">
        <f aca="false">SUM(C6:C9)</f>
        <v>4500000</v>
      </c>
      <c r="D10" s="8" t="n">
        <f aca="false">SUM(D6:D9)</f>
        <v>1140000</v>
      </c>
      <c r="E10" s="8" t="n">
        <f aca="false">SUM(E6:E9)</f>
        <v>1210000</v>
      </c>
      <c r="F10" s="8" t="n">
        <f aca="false">SUM(F6:F9)</f>
        <v>1280000</v>
      </c>
      <c r="G10" s="8" t="n">
        <f aca="false">SUM(G6:G9)</f>
        <v>3630000</v>
      </c>
      <c r="H10" s="8" t="n">
        <f aca="false">G10/9*12</f>
        <v>4840000</v>
      </c>
      <c r="I10" s="23" t="n">
        <f aca="false">IF(C10=0,0,H10/C10-1)</f>
        <v>0.0755555555555556</v>
      </c>
    </row>
    <row r="11" customFormat="false" ht="15" hidden="false" customHeight="false" outlineLevel="0" collapsed="false">
      <c r="A11" s="24"/>
      <c r="B11" s="25"/>
      <c r="C11" s="25"/>
      <c r="D11" s="25"/>
      <c r="E11" s="25"/>
      <c r="F11" s="25"/>
      <c r="G11" s="25"/>
      <c r="H11" s="25"/>
      <c r="I11" s="26"/>
    </row>
    <row r="12" customFormat="false" ht="15" hidden="false" customHeight="false" outlineLevel="0" collapsed="false">
      <c r="A12" s="19" t="s">
        <v>39</v>
      </c>
      <c r="B12" s="20"/>
      <c r="C12" s="20"/>
      <c r="D12" s="20"/>
      <c r="E12" s="20"/>
      <c r="F12" s="20"/>
      <c r="G12" s="20"/>
      <c r="H12" s="20"/>
      <c r="I12" s="21"/>
    </row>
    <row r="13" customFormat="false" ht="15" hidden="false" customHeight="false" outlineLevel="0" collapsed="false">
      <c r="A13" s="9" t="s">
        <v>40</v>
      </c>
      <c r="B13" s="22" t="n">
        <v>747700</v>
      </c>
      <c r="C13" s="22" t="n">
        <v>789300</v>
      </c>
      <c r="D13" s="22" t="n">
        <v>198400</v>
      </c>
      <c r="E13" s="22" t="n">
        <v>202500</v>
      </c>
      <c r="F13" s="22" t="n">
        <v>207700.02</v>
      </c>
      <c r="G13" s="14" t="n">
        <f aca="false">SUM(D13:F13)</f>
        <v>608600.02</v>
      </c>
      <c r="H13" s="14" t="n">
        <f aca="false">G13/9*12</f>
        <v>811466.693333333</v>
      </c>
      <c r="I13" s="10" t="n">
        <f aca="false">IF(C13=0,0,H13/C13-1)</f>
        <v>0.0280839900333629</v>
      </c>
    </row>
    <row r="14" customFormat="false" ht="15" hidden="false" customHeight="false" outlineLevel="0" collapsed="false">
      <c r="A14" s="9" t="s">
        <v>41</v>
      </c>
      <c r="B14" s="22" t="n">
        <v>330000</v>
      </c>
      <c r="C14" s="22" t="n">
        <v>385000</v>
      </c>
      <c r="D14" s="22" t="n">
        <v>95000</v>
      </c>
      <c r="E14" s="22" t="n">
        <v>102000</v>
      </c>
      <c r="F14" s="22" t="n">
        <v>110000</v>
      </c>
      <c r="G14" s="14" t="n">
        <f aca="false">SUM(D14:F14)</f>
        <v>307000</v>
      </c>
      <c r="H14" s="14" t="n">
        <f aca="false">G14/9*12</f>
        <v>409333.333333333</v>
      </c>
      <c r="I14" s="10" t="n">
        <f aca="false">IF(C14=0,0,H14/C14-1)</f>
        <v>0.0632034632034633</v>
      </c>
    </row>
    <row r="15" customFormat="false" ht="15" hidden="false" customHeight="false" outlineLevel="0" collapsed="false">
      <c r="A15" s="9" t="s">
        <v>42</v>
      </c>
      <c r="B15" s="22" t="n">
        <v>210000</v>
      </c>
      <c r="C15" s="22" t="n">
        <v>235000</v>
      </c>
      <c r="D15" s="22" t="n">
        <v>60000</v>
      </c>
      <c r="E15" s="22" t="n">
        <v>55000</v>
      </c>
      <c r="F15" s="22" t="n">
        <v>68000</v>
      </c>
      <c r="G15" s="14" t="n">
        <f aca="false">SUM(D15:F15)</f>
        <v>183000</v>
      </c>
      <c r="H15" s="14" t="n">
        <f aca="false">G15/9*12</f>
        <v>244000</v>
      </c>
      <c r="I15" s="10" t="n">
        <f aca="false">IF(C15=0,0,H15/C15-1)</f>
        <v>0.0382978723404255</v>
      </c>
    </row>
    <row r="16" customFormat="false" ht="15" hidden="false" customHeight="false" outlineLevel="0" collapsed="false">
      <c r="A16" s="7" t="s">
        <v>43</v>
      </c>
      <c r="B16" s="8" t="n">
        <f aca="false">SUM(B13:B15)</f>
        <v>1287700</v>
      </c>
      <c r="C16" s="8" t="n">
        <f aca="false">SUM(C13:C15)</f>
        <v>1409300</v>
      </c>
      <c r="D16" s="8" t="n">
        <f aca="false">SUM(D13:D15)</f>
        <v>353400</v>
      </c>
      <c r="E16" s="8" t="n">
        <f aca="false">SUM(E13:E15)</f>
        <v>359500</v>
      </c>
      <c r="F16" s="8" t="n">
        <f aca="false">SUM(F13:F15)</f>
        <v>385700.02</v>
      </c>
      <c r="G16" s="8" t="n">
        <f aca="false">SUM(G13:G15)</f>
        <v>1098600.02</v>
      </c>
      <c r="H16" s="8" t="n">
        <f aca="false">G16/9*12</f>
        <v>1464800.02666667</v>
      </c>
      <c r="I16" s="23" t="n">
        <f aca="false">IF(C16=0,0,H16/C16-1)</f>
        <v>0.0393812720263014</v>
      </c>
    </row>
    <row r="17" customFormat="false" ht="15" hidden="false" customHeight="false" outlineLevel="0" collapsed="false">
      <c r="A17" s="7" t="s">
        <v>44</v>
      </c>
      <c r="B17" s="8" t="n">
        <f aca="false">B10-B16</f>
        <v>2662300</v>
      </c>
      <c r="C17" s="8" t="n">
        <f aca="false">C10-C16</f>
        <v>3090700</v>
      </c>
      <c r="D17" s="8" t="n">
        <f aca="false">D10-D16</f>
        <v>786600</v>
      </c>
      <c r="E17" s="8" t="n">
        <f aca="false">E10-E16</f>
        <v>850500</v>
      </c>
      <c r="F17" s="8" t="n">
        <f aca="false">F10-F16</f>
        <v>894299.98</v>
      </c>
      <c r="G17" s="8" t="n">
        <f aca="false">G10-G16</f>
        <v>2531399.98</v>
      </c>
      <c r="H17" s="8" t="n">
        <f aca="false">G17/9*12</f>
        <v>3375199.97333333</v>
      </c>
      <c r="I17" s="23" t="n">
        <f aca="false">IF(C17=0,0,H17/C17-1)</f>
        <v>0.092050335954099</v>
      </c>
    </row>
    <row r="18" customFormat="false" ht="15" hidden="false" customHeight="false" outlineLevel="0" collapsed="false">
      <c r="A18" s="27" t="s">
        <v>45</v>
      </c>
      <c r="B18" s="28" t="n">
        <f aca="false">IF(B10=0,0,B17/B10)</f>
        <v>0.674</v>
      </c>
      <c r="C18" s="28" t="n">
        <f aca="false">IF(C10=0,0,C17/C10)</f>
        <v>0.686822222222222</v>
      </c>
      <c r="D18" s="28" t="n">
        <f aca="false">IF(D10=0,0,D17/D10)</f>
        <v>0.69</v>
      </c>
      <c r="E18" s="28" t="n">
        <f aca="false">IF(E10=0,0,E17/E10)</f>
        <v>0.702892561983471</v>
      </c>
      <c r="F18" s="28" t="n">
        <f aca="false">IF(F10=0,0,F17/F10)</f>
        <v>0.698671859375</v>
      </c>
      <c r="G18" s="28" t="n">
        <f aca="false">IF(G10=0,0,G17/G10)</f>
        <v>0.697355366391185</v>
      </c>
      <c r="H18" s="28" t="n">
        <f aca="false">IF(H10=0,0,H17/H10)</f>
        <v>0.697355366391185</v>
      </c>
      <c r="I18" s="28"/>
    </row>
    <row r="19" customFormat="false" ht="15" hidden="false" customHeight="false" outlineLevel="0" collapsed="false">
      <c r="A19" s="24"/>
      <c r="B19" s="25"/>
      <c r="C19" s="25"/>
      <c r="D19" s="25"/>
      <c r="E19" s="25"/>
      <c r="F19" s="25"/>
      <c r="G19" s="25"/>
      <c r="H19" s="25"/>
      <c r="I19" s="26"/>
    </row>
    <row r="20" customFormat="false" ht="15" hidden="false" customHeight="false" outlineLevel="0" collapsed="false">
      <c r="A20" s="19" t="s">
        <v>46</v>
      </c>
      <c r="B20" s="20"/>
      <c r="C20" s="20"/>
      <c r="D20" s="20"/>
      <c r="E20" s="20"/>
      <c r="F20" s="20"/>
      <c r="G20" s="20"/>
      <c r="H20" s="20"/>
      <c r="I20" s="21"/>
    </row>
    <row r="21" customFormat="false" ht="15" hidden="false" customHeight="false" outlineLevel="0" collapsed="false">
      <c r="A21" s="9" t="s">
        <v>47</v>
      </c>
      <c r="B21" s="22" t="n">
        <v>581600</v>
      </c>
      <c r="C21" s="22" t="n">
        <v>613900</v>
      </c>
      <c r="D21" s="22" t="n">
        <v>154300</v>
      </c>
      <c r="E21" s="22" t="n">
        <v>157500</v>
      </c>
      <c r="F21" s="22" t="n">
        <v>161550</v>
      </c>
      <c r="G21" s="14" t="n">
        <f aca="false">SUM(D21:F21)</f>
        <v>473350</v>
      </c>
      <c r="H21" s="14" t="n">
        <f aca="false">G21/9*12</f>
        <v>631133.333333333</v>
      </c>
      <c r="I21" s="10" t="n">
        <f aca="false">IF(C21=0,0,H21/C21-1)</f>
        <v>0.0280718901015367</v>
      </c>
    </row>
    <row r="22" customFormat="false" ht="15" hidden="false" customHeight="false" outlineLevel="0" collapsed="false">
      <c r="A22" s="9" t="s">
        <v>48</v>
      </c>
      <c r="B22" s="22" t="n">
        <v>1019700</v>
      </c>
      <c r="C22" s="22" t="n">
        <v>1076300</v>
      </c>
      <c r="D22" s="22" t="n">
        <v>270500</v>
      </c>
      <c r="E22" s="22" t="n">
        <v>276200</v>
      </c>
      <c r="F22" s="22" t="n">
        <v>283249.98</v>
      </c>
      <c r="G22" s="14" t="n">
        <f aca="false">SUM(D22:F22)</f>
        <v>829949.98</v>
      </c>
      <c r="H22" s="14" t="n">
        <f aca="false">G22/9*12</f>
        <v>1106599.97333333</v>
      </c>
      <c r="I22" s="10" t="n">
        <f aca="false">IF(C22=0,0,H22/C22-1)</f>
        <v>0.0281519774536219</v>
      </c>
    </row>
    <row r="23" customFormat="false" ht="15" hidden="false" customHeight="false" outlineLevel="0" collapsed="false">
      <c r="A23" s="9" t="s">
        <v>49</v>
      </c>
      <c r="B23" s="22" t="n">
        <v>290000</v>
      </c>
      <c r="C23" s="22" t="n">
        <v>306000</v>
      </c>
      <c r="D23" s="22" t="n">
        <v>78000</v>
      </c>
      <c r="E23" s="22" t="n">
        <v>78000</v>
      </c>
      <c r="F23" s="22" t="n">
        <v>78000</v>
      </c>
      <c r="G23" s="14" t="n">
        <f aca="false">SUM(D23:F23)</f>
        <v>234000</v>
      </c>
      <c r="H23" s="14" t="n">
        <f aca="false">G23/9*12</f>
        <v>312000</v>
      </c>
      <c r="I23" s="10" t="n">
        <f aca="false">IF(C23=0,0,H23/C23-1)</f>
        <v>0.0196078431372548</v>
      </c>
    </row>
    <row r="24" customFormat="false" ht="15" hidden="false" customHeight="false" outlineLevel="0" collapsed="false">
      <c r="A24" s="9" t="s">
        <v>50</v>
      </c>
      <c r="B24" s="22" t="n">
        <v>54000</v>
      </c>
      <c r="C24" s="22" t="n">
        <v>58000</v>
      </c>
      <c r="D24" s="22" t="n">
        <v>14500</v>
      </c>
      <c r="E24" s="22" t="n">
        <v>15000</v>
      </c>
      <c r="F24" s="22" t="n">
        <v>15200</v>
      </c>
      <c r="G24" s="14" t="n">
        <f aca="false">SUM(D24:F24)</f>
        <v>44700</v>
      </c>
      <c r="H24" s="14" t="n">
        <f aca="false">G24/9*12</f>
        <v>59600</v>
      </c>
      <c r="I24" s="10" t="n">
        <f aca="false">IF(C24=0,0,H24/C24-1)</f>
        <v>0.0275862068965518</v>
      </c>
    </row>
    <row r="25" customFormat="false" ht="15" hidden="false" customHeight="false" outlineLevel="0" collapsed="false">
      <c r="A25" s="9" t="s">
        <v>51</v>
      </c>
      <c r="B25" s="22" t="n">
        <v>78000</v>
      </c>
      <c r="C25" s="22" t="n">
        <v>88000</v>
      </c>
      <c r="D25" s="22" t="n">
        <v>22000</v>
      </c>
      <c r="E25" s="22" t="n">
        <v>23000</v>
      </c>
      <c r="F25" s="22" t="n">
        <v>24500</v>
      </c>
      <c r="G25" s="14" t="n">
        <f aca="false">SUM(D25:F25)</f>
        <v>69500</v>
      </c>
      <c r="H25" s="14" t="n">
        <f aca="false">G25/9*12</f>
        <v>92666.6666666667</v>
      </c>
      <c r="I25" s="10" t="n">
        <f aca="false">IF(C25=0,0,H25/C25-1)</f>
        <v>0.053030303030303</v>
      </c>
    </row>
    <row r="26" customFormat="false" ht="15" hidden="false" customHeight="false" outlineLevel="0" collapsed="false">
      <c r="A26" s="9" t="s">
        <v>52</v>
      </c>
      <c r="B26" s="22" t="n">
        <v>130000</v>
      </c>
      <c r="C26" s="22" t="n">
        <v>150000</v>
      </c>
      <c r="D26" s="22" t="n">
        <v>38000</v>
      </c>
      <c r="E26" s="22" t="n">
        <v>42000</v>
      </c>
      <c r="F26" s="22" t="n">
        <v>45000</v>
      </c>
      <c r="G26" s="14" t="n">
        <f aca="false">SUM(D26:F26)</f>
        <v>125000</v>
      </c>
      <c r="H26" s="14" t="n">
        <f aca="false">G26/9*12</f>
        <v>166666.666666667</v>
      </c>
      <c r="I26" s="10" t="n">
        <f aca="false">IF(C26=0,0,H26/C26-1)</f>
        <v>0.111111111111111</v>
      </c>
    </row>
    <row r="27" customFormat="false" ht="15" hidden="false" customHeight="false" outlineLevel="0" collapsed="false">
      <c r="A27" s="9" t="s">
        <v>53</v>
      </c>
      <c r="B27" s="22" t="n">
        <v>60000</v>
      </c>
      <c r="C27" s="22" t="n">
        <v>70000</v>
      </c>
      <c r="D27" s="22" t="n">
        <v>16000</v>
      </c>
      <c r="E27" s="22" t="n">
        <v>18500</v>
      </c>
      <c r="F27" s="22" t="n">
        <v>21000</v>
      </c>
      <c r="G27" s="14" t="n">
        <f aca="false">SUM(D27:F27)</f>
        <v>55500</v>
      </c>
      <c r="H27" s="14" t="n">
        <f aca="false">G27/9*12</f>
        <v>74000</v>
      </c>
      <c r="I27" s="10" t="n">
        <f aca="false">IF(C27=0,0,H27/C27-1)</f>
        <v>0.0571428571428572</v>
      </c>
    </row>
    <row r="28" customFormat="false" ht="15" hidden="false" customHeight="false" outlineLevel="0" collapsed="false">
      <c r="A28" s="9" t="s">
        <v>54</v>
      </c>
      <c r="B28" s="22" t="n">
        <v>66000</v>
      </c>
      <c r="C28" s="22" t="n">
        <v>64000</v>
      </c>
      <c r="D28" s="22" t="n">
        <v>20000</v>
      </c>
      <c r="E28" s="22" t="n">
        <v>12000</v>
      </c>
      <c r="F28" s="22" t="n">
        <v>15000</v>
      </c>
      <c r="G28" s="14" t="n">
        <f aca="false">SUM(D28:F28)</f>
        <v>47000</v>
      </c>
      <c r="H28" s="14" t="n">
        <f aca="false">G28/9*12</f>
        <v>62666.6666666667</v>
      </c>
      <c r="I28" s="10" t="n">
        <f aca="false">IF(C28=0,0,H28/C28-1)</f>
        <v>-0.0208333333333333</v>
      </c>
    </row>
    <row r="29" customFormat="false" ht="15" hidden="false" customHeight="false" outlineLevel="0" collapsed="false">
      <c r="A29" s="9" t="s">
        <v>55</v>
      </c>
      <c r="B29" s="22" t="n">
        <v>34000</v>
      </c>
      <c r="C29" s="22" t="n">
        <v>36000</v>
      </c>
      <c r="D29" s="22" t="n">
        <v>9000</v>
      </c>
      <c r="E29" s="22" t="n">
        <v>9000</v>
      </c>
      <c r="F29" s="22" t="n">
        <v>9000</v>
      </c>
      <c r="G29" s="14" t="n">
        <f aca="false">SUM(D29:F29)</f>
        <v>27000</v>
      </c>
      <c r="H29" s="14" t="n">
        <f aca="false">G29/9*12</f>
        <v>36000</v>
      </c>
      <c r="I29" s="10" t="n">
        <f aca="false">IF(C29=0,0,H29/C29-1)</f>
        <v>0</v>
      </c>
    </row>
    <row r="30" customFormat="false" ht="15" hidden="false" customHeight="false" outlineLevel="0" collapsed="false">
      <c r="A30" s="9" t="s">
        <v>56</v>
      </c>
      <c r="B30" s="22" t="n">
        <v>8000</v>
      </c>
      <c r="C30" s="22" t="n">
        <v>9500</v>
      </c>
      <c r="D30" s="22" t="n">
        <v>2100</v>
      </c>
      <c r="E30" s="22" t="n">
        <v>3300</v>
      </c>
      <c r="F30" s="22" t="n">
        <v>2600</v>
      </c>
      <c r="G30" s="14" t="n">
        <f aca="false">SUM(D30:F30)</f>
        <v>8000</v>
      </c>
      <c r="H30" s="14" t="n">
        <f aca="false">G30/9*12</f>
        <v>10666.6666666667</v>
      </c>
      <c r="I30" s="10" t="n">
        <f aca="false">IF(C30=0,0,H30/C30-1)</f>
        <v>0.12280701754386</v>
      </c>
    </row>
    <row r="31" customFormat="false" ht="15" hidden="false" customHeight="false" outlineLevel="0" collapsed="false">
      <c r="A31" s="9" t="s">
        <v>57</v>
      </c>
      <c r="B31" s="22" t="n">
        <v>22000</v>
      </c>
      <c r="C31" s="22" t="n">
        <v>24500</v>
      </c>
      <c r="D31" s="22" t="n">
        <v>6200</v>
      </c>
      <c r="E31" s="22" t="n">
        <v>6500</v>
      </c>
      <c r="F31" s="22" t="n">
        <v>6800</v>
      </c>
      <c r="G31" s="14" t="n">
        <f aca="false">SUM(D31:F31)</f>
        <v>19500</v>
      </c>
      <c r="H31" s="14" t="n">
        <f aca="false">G31/9*12</f>
        <v>26000</v>
      </c>
      <c r="I31" s="10" t="n">
        <f aca="false">IF(C31=0,0,H31/C31-1)</f>
        <v>0.0612244897959184</v>
      </c>
    </row>
    <row r="32" customFormat="false" ht="15" hidden="false" customHeight="false" outlineLevel="0" collapsed="false">
      <c r="A32" s="9" t="s">
        <v>58</v>
      </c>
      <c r="B32" s="22" t="n">
        <v>92000</v>
      </c>
      <c r="C32" s="22" t="n">
        <v>100000</v>
      </c>
      <c r="D32" s="22" t="n">
        <v>26000</v>
      </c>
      <c r="E32" s="22" t="n">
        <v>26000</v>
      </c>
      <c r="F32" s="22" t="n">
        <v>27500</v>
      </c>
      <c r="G32" s="14" t="n">
        <f aca="false">SUM(D32:F32)</f>
        <v>79500</v>
      </c>
      <c r="H32" s="14" t="n">
        <f aca="false">G32/9*12</f>
        <v>106000</v>
      </c>
      <c r="I32" s="10" t="n">
        <f aca="false">IF(C32=0,0,H32/C32-1)</f>
        <v>0.0600000000000001</v>
      </c>
    </row>
    <row r="33" customFormat="false" ht="15" hidden="false" customHeight="false" outlineLevel="0" collapsed="false">
      <c r="A33" s="9" t="s">
        <v>59</v>
      </c>
      <c r="B33" s="22" t="n">
        <v>28000</v>
      </c>
      <c r="C33" s="22" t="n">
        <v>33000</v>
      </c>
      <c r="D33" s="22" t="n">
        <v>8000</v>
      </c>
      <c r="E33" s="22" t="n">
        <v>9000</v>
      </c>
      <c r="F33" s="22" t="n">
        <v>9500</v>
      </c>
      <c r="G33" s="14" t="n">
        <f aca="false">SUM(D33:F33)</f>
        <v>26500</v>
      </c>
      <c r="H33" s="14" t="n">
        <f aca="false">G33/9*12</f>
        <v>35333.3333333333</v>
      </c>
      <c r="I33" s="10" t="n">
        <f aca="false">IF(C33=0,0,H33/C33-1)</f>
        <v>0.0707070707070705</v>
      </c>
    </row>
    <row r="34" customFormat="false" ht="15" hidden="false" customHeight="false" outlineLevel="0" collapsed="false">
      <c r="A34" s="7" t="s">
        <v>60</v>
      </c>
      <c r="B34" s="8" t="n">
        <f aca="false">SUM(B21:B33)</f>
        <v>2463300</v>
      </c>
      <c r="C34" s="8" t="n">
        <f aca="false">SUM(C21:C33)</f>
        <v>2629200</v>
      </c>
      <c r="D34" s="8" t="n">
        <f aca="false">SUM(D21:D33)</f>
        <v>664600</v>
      </c>
      <c r="E34" s="8" t="n">
        <f aca="false">SUM(E21:E33)</f>
        <v>676000</v>
      </c>
      <c r="F34" s="8" t="n">
        <f aca="false">SUM(F21:F33)</f>
        <v>698899.98</v>
      </c>
      <c r="G34" s="8" t="n">
        <f aca="false">SUM(G21:G33)</f>
        <v>2039499.98</v>
      </c>
      <c r="H34" s="8" t="n">
        <f aca="false">G34/9*12</f>
        <v>2719333.30666667</v>
      </c>
      <c r="I34" s="23" t="n">
        <f aca="false">IF(C34=0,0,H34/C34-1)</f>
        <v>0.0342816471423499</v>
      </c>
    </row>
    <row r="35" customFormat="false" ht="15" hidden="false" customHeight="false" outlineLevel="0" collapsed="false">
      <c r="A35" s="24"/>
      <c r="B35" s="25"/>
      <c r="C35" s="25"/>
      <c r="D35" s="25"/>
      <c r="E35" s="25"/>
      <c r="F35" s="25"/>
      <c r="G35" s="25"/>
      <c r="H35" s="25"/>
      <c r="I35" s="26"/>
    </row>
    <row r="36" customFormat="false" ht="15" hidden="false" customHeight="false" outlineLevel="0" collapsed="false">
      <c r="A36" s="7" t="s">
        <v>61</v>
      </c>
      <c r="B36" s="8" t="n">
        <f aca="false">B17-B34</f>
        <v>199000</v>
      </c>
      <c r="C36" s="8" t="n">
        <f aca="false">C17-C34</f>
        <v>461500</v>
      </c>
      <c r="D36" s="8" t="n">
        <f aca="false">D17-D34</f>
        <v>122000</v>
      </c>
      <c r="E36" s="8" t="n">
        <f aca="false">E17-E34</f>
        <v>174500</v>
      </c>
      <c r="F36" s="8" t="n">
        <f aca="false">F17-F34</f>
        <v>195400</v>
      </c>
      <c r="G36" s="8" t="n">
        <f aca="false">G17-G34</f>
        <v>491900</v>
      </c>
      <c r="H36" s="8" t="n">
        <f aca="false">G36/9*12</f>
        <v>655866.666666667</v>
      </c>
      <c r="I36" s="23" t="n">
        <f aca="false">IF(C36=0,0,H36/C36-1)</f>
        <v>0.421162874684001</v>
      </c>
    </row>
    <row r="37" customFormat="false" ht="15" hidden="false" customHeight="false" outlineLevel="0" collapsed="false">
      <c r="A37" s="27" t="s">
        <v>62</v>
      </c>
      <c r="B37" s="28" t="n">
        <f aca="false">IF(B10=0,0,B36/B10)</f>
        <v>0.050379746835443</v>
      </c>
      <c r="C37" s="28" t="n">
        <f aca="false">IF(C10=0,0,C36/C10)</f>
        <v>0.102555555555556</v>
      </c>
      <c r="D37" s="28" t="n">
        <f aca="false">IF(D10=0,0,D36/D10)</f>
        <v>0.107017543859649</v>
      </c>
      <c r="E37" s="28" t="n">
        <f aca="false">IF(E10=0,0,E36/E10)</f>
        <v>0.144214876033058</v>
      </c>
      <c r="F37" s="28" t="n">
        <f aca="false">IF(F10=0,0,F36/F10)</f>
        <v>0.15265625</v>
      </c>
      <c r="G37" s="28" t="n">
        <f aca="false">IF(G10=0,0,G36/G10)</f>
        <v>0.135509641873278</v>
      </c>
      <c r="H37" s="28" t="n">
        <f aca="false">IF(H10=0,0,H36/H10)</f>
        <v>0.135509641873278</v>
      </c>
      <c r="I37" s="28"/>
    </row>
    <row r="38" customFormat="false" ht="15" hidden="false" customHeight="false" outlineLevel="0" collapsed="false">
      <c r="A38" s="9" t="s">
        <v>63</v>
      </c>
      <c r="B38" s="22" t="n">
        <v>27000</v>
      </c>
      <c r="C38" s="22" t="n">
        <v>25500</v>
      </c>
      <c r="D38" s="22" t="n">
        <v>6500</v>
      </c>
      <c r="E38" s="22" t="n">
        <v>6300</v>
      </c>
      <c r="F38" s="22" t="n">
        <v>6100</v>
      </c>
      <c r="G38" s="14" t="n">
        <f aca="false">SUM(D38:F38)</f>
        <v>18900</v>
      </c>
      <c r="H38" s="14" t="n">
        <f aca="false">G38/9*12</f>
        <v>25200</v>
      </c>
      <c r="I38" s="10" t="n">
        <f aca="false">IF(C38=0,0,H38/C38-1)</f>
        <v>-0.0117647058823529</v>
      </c>
    </row>
    <row r="39" customFormat="false" ht="15" hidden="false" customHeight="false" outlineLevel="0" collapsed="false">
      <c r="A39" s="7" t="s">
        <v>64</v>
      </c>
      <c r="B39" s="8" t="n">
        <f aca="false">B36-B38</f>
        <v>172000</v>
      </c>
      <c r="C39" s="8" t="n">
        <f aca="false">C36-C38</f>
        <v>436000</v>
      </c>
      <c r="D39" s="8" t="n">
        <f aca="false">D36-D38</f>
        <v>115500</v>
      </c>
      <c r="E39" s="8" t="n">
        <f aca="false">E36-E38</f>
        <v>168200</v>
      </c>
      <c r="F39" s="8" t="n">
        <f aca="false">F36-F38</f>
        <v>189300</v>
      </c>
      <c r="G39" s="8" t="n">
        <f aca="false">G36-G38</f>
        <v>473000</v>
      </c>
      <c r="H39" s="8" t="n">
        <f aca="false">G39/9*12</f>
        <v>630666.666666667</v>
      </c>
      <c r="I39" s="23" t="n">
        <f aca="false">IF(C39=0,0,H39/C39-1)</f>
        <v>0.446483180428134</v>
      </c>
    </row>
    <row r="40" customFormat="false" ht="15" hidden="false" customHeight="false" outlineLevel="0" collapsed="false">
      <c r="A40" s="24" t="s">
        <v>65</v>
      </c>
      <c r="B40" s="14" t="n">
        <f aca="false">ROUND(MAX(0,B39)*Assumptions!$B$5,0)</f>
        <v>43000</v>
      </c>
      <c r="C40" s="14" t="n">
        <f aca="false">ROUND(MAX(0,C39)*Assumptions!$B$5,0)</f>
        <v>109000</v>
      </c>
      <c r="D40" s="14" t="n">
        <f aca="false">ROUND(MAX(0,D39)*Assumptions!$B$5,0)</f>
        <v>28875</v>
      </c>
      <c r="E40" s="14" t="n">
        <f aca="false">ROUND(MAX(0,E39)*Assumptions!$B$5,0)</f>
        <v>42050</v>
      </c>
      <c r="F40" s="14" t="n">
        <f aca="false">ROUND(MAX(0,F39)*Assumptions!$B$5,0)</f>
        <v>47325</v>
      </c>
      <c r="G40" s="14" t="n">
        <f aca="false">ROUND(MAX(0,G39)*Assumptions!$B$5,0)</f>
        <v>118250</v>
      </c>
      <c r="H40" s="14" t="n">
        <f aca="false">G40/9*12</f>
        <v>157666.666666667</v>
      </c>
      <c r="I40" s="10" t="n">
        <f aca="false">IF(C40=0,0,H40/C40-1)</f>
        <v>0.446483180428134</v>
      </c>
    </row>
    <row r="41" customFormat="false" ht="15" hidden="false" customHeight="false" outlineLevel="0" collapsed="false">
      <c r="A41" s="7" t="s">
        <v>66</v>
      </c>
      <c r="B41" s="8" t="n">
        <f aca="false">B39-B40</f>
        <v>129000</v>
      </c>
      <c r="C41" s="8" t="n">
        <f aca="false">C39-C40</f>
        <v>327000</v>
      </c>
      <c r="D41" s="8" t="n">
        <f aca="false">D39-D40</f>
        <v>86625</v>
      </c>
      <c r="E41" s="8" t="n">
        <f aca="false">E39-E40</f>
        <v>126150</v>
      </c>
      <c r="F41" s="8" t="n">
        <f aca="false">F39-F40</f>
        <v>141975</v>
      </c>
      <c r="G41" s="8" t="n">
        <f aca="false">G39-G40</f>
        <v>354750</v>
      </c>
      <c r="H41" s="8" t="n">
        <f aca="false">G41/9*12</f>
        <v>473000</v>
      </c>
      <c r="I41" s="23" t="n">
        <f aca="false">IF(C41=0,0,H41/C41-1)</f>
        <v>0.446483180428135</v>
      </c>
    </row>
    <row r="42" customFormat="false" ht="15" hidden="false" customHeight="false" outlineLevel="0" collapsed="false">
      <c r="A42" s="27" t="s">
        <v>67</v>
      </c>
      <c r="B42" s="28" t="n">
        <f aca="false">IF(B10=0,0,B41/B10)</f>
        <v>0.0326582278481013</v>
      </c>
      <c r="C42" s="28" t="n">
        <f aca="false">IF(C10=0,0,C41/C10)</f>
        <v>0.0726666666666667</v>
      </c>
      <c r="D42" s="28" t="n">
        <f aca="false">IF(D10=0,0,D41/D10)</f>
        <v>0.0759868421052632</v>
      </c>
      <c r="E42" s="28" t="n">
        <f aca="false">IF(E10=0,0,E41/E10)</f>
        <v>0.104256198347107</v>
      </c>
      <c r="F42" s="28" t="n">
        <f aca="false">IF(F10=0,0,F41/F10)</f>
        <v>0.11091796875</v>
      </c>
      <c r="G42" s="28" t="n">
        <f aca="false">IF(G10=0,0,G41/G10)</f>
        <v>0.0977272727272727</v>
      </c>
      <c r="H42" s="28" t="n">
        <f aca="false">IF(H10=0,0,H41/H10)</f>
        <v>0.0977272727272727</v>
      </c>
      <c r="I42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27</v>
      </c>
      <c r="B4" s="4" t="s">
        <v>69</v>
      </c>
      <c r="C4" s="4" t="s">
        <v>70</v>
      </c>
      <c r="D4" s="4" t="s">
        <v>71</v>
      </c>
    </row>
    <row r="5" customFormat="false" ht="15" hidden="false" customHeight="false" outlineLevel="0" collapsed="false">
      <c r="A5" s="19" t="s">
        <v>72</v>
      </c>
      <c r="B5" s="20"/>
      <c r="C5" s="20"/>
      <c r="D5" s="20"/>
    </row>
    <row r="6" customFormat="false" ht="15" hidden="false" customHeight="false" outlineLevel="0" collapsed="false">
      <c r="A6" s="9" t="s">
        <v>73</v>
      </c>
      <c r="B6" s="14" t="n">
        <f aca="false">B26-B7-B8-B10</f>
        <v>1061000</v>
      </c>
      <c r="C6" s="14" t="n">
        <f aca="false">C26-C7-C8-C10</f>
        <v>1151000</v>
      </c>
      <c r="D6" s="14" t="n">
        <f aca="false">D26-D7-D8-D10</f>
        <v>1350750</v>
      </c>
    </row>
    <row r="7" customFormat="false" ht="15" hidden="false" customHeight="false" outlineLevel="0" collapsed="false">
      <c r="A7" s="9" t="s">
        <v>74</v>
      </c>
      <c r="B7" s="22" t="n">
        <v>380000</v>
      </c>
      <c r="C7" s="22" t="n">
        <v>450000</v>
      </c>
      <c r="D7" s="22" t="n">
        <v>520000</v>
      </c>
    </row>
    <row r="8" customFormat="false" ht="15" hidden="false" customHeight="false" outlineLevel="0" collapsed="false">
      <c r="A8" s="9" t="s">
        <v>75</v>
      </c>
      <c r="B8" s="22" t="n">
        <v>40000</v>
      </c>
      <c r="C8" s="22" t="n">
        <v>48000</v>
      </c>
      <c r="D8" s="22" t="n">
        <v>55000</v>
      </c>
    </row>
    <row r="9" customFormat="false" ht="15" hidden="false" customHeight="false" outlineLevel="0" collapsed="false">
      <c r="A9" s="7" t="s">
        <v>76</v>
      </c>
      <c r="B9" s="8" t="n">
        <f aca="false">SUM(B6:B8)</f>
        <v>1481000</v>
      </c>
      <c r="C9" s="8" t="n">
        <f aca="false">SUM(C6:C8)</f>
        <v>1649000</v>
      </c>
      <c r="D9" s="8" t="n">
        <f aca="false">SUM(D6:D8)</f>
        <v>1925750</v>
      </c>
    </row>
    <row r="10" customFormat="false" ht="15" hidden="false" customHeight="false" outlineLevel="0" collapsed="false">
      <c r="A10" s="9" t="s">
        <v>77</v>
      </c>
      <c r="B10" s="22" t="n">
        <v>210000</v>
      </c>
      <c r="C10" s="22" t="n">
        <v>232000</v>
      </c>
      <c r="D10" s="22" t="n">
        <v>235000</v>
      </c>
    </row>
    <row r="11" customFormat="false" ht="15" hidden="false" customHeight="false" outlineLevel="0" collapsed="false">
      <c r="A11" s="7" t="s">
        <v>78</v>
      </c>
      <c r="B11" s="8" t="n">
        <f aca="false">B9+B10</f>
        <v>1691000</v>
      </c>
      <c r="C11" s="8" t="n">
        <f aca="false">C9+C10</f>
        <v>1881000</v>
      </c>
      <c r="D11" s="8" t="n">
        <f aca="false">D9+D10</f>
        <v>2160750</v>
      </c>
    </row>
    <row r="12" customFormat="false" ht="15" hidden="false" customHeight="false" outlineLevel="0" collapsed="false">
      <c r="A12" s="9"/>
      <c r="B12" s="14"/>
      <c r="C12" s="14"/>
      <c r="D12" s="14"/>
    </row>
    <row r="13" customFormat="false" ht="15" hidden="false" customHeight="false" outlineLevel="0" collapsed="false">
      <c r="A13" s="19" t="s">
        <v>79</v>
      </c>
      <c r="B13" s="20"/>
      <c r="C13" s="20"/>
      <c r="D13" s="20"/>
    </row>
    <row r="14" customFormat="false" ht="15" hidden="false" customHeight="false" outlineLevel="0" collapsed="false">
      <c r="A14" s="9" t="s">
        <v>80</v>
      </c>
      <c r="B14" s="22" t="n">
        <v>150000</v>
      </c>
      <c r="C14" s="22" t="n">
        <v>170000</v>
      </c>
      <c r="D14" s="22" t="n">
        <v>190000</v>
      </c>
    </row>
    <row r="15" customFormat="false" ht="15" hidden="false" customHeight="false" outlineLevel="0" collapsed="false">
      <c r="A15" s="9" t="s">
        <v>81</v>
      </c>
      <c r="B15" s="22" t="n">
        <v>110000</v>
      </c>
      <c r="C15" s="22" t="n">
        <v>125000</v>
      </c>
      <c r="D15" s="22" t="n">
        <v>140000</v>
      </c>
    </row>
    <row r="16" customFormat="false" ht="15" hidden="false" customHeight="false" outlineLevel="0" collapsed="false">
      <c r="A16" s="9" t="s">
        <v>82</v>
      </c>
      <c r="B16" s="22" t="n">
        <v>62000</v>
      </c>
      <c r="C16" s="22" t="n">
        <v>70000</v>
      </c>
      <c r="D16" s="22" t="n">
        <v>95000</v>
      </c>
    </row>
    <row r="17" customFormat="false" ht="15" hidden="false" customHeight="false" outlineLevel="0" collapsed="false">
      <c r="A17" s="9" t="s">
        <v>83</v>
      </c>
      <c r="B17" s="22" t="n">
        <v>60000</v>
      </c>
      <c r="C17" s="22" t="n">
        <v>60000</v>
      </c>
      <c r="D17" s="22" t="n">
        <v>60000</v>
      </c>
    </row>
    <row r="18" customFormat="false" ht="15" hidden="false" customHeight="false" outlineLevel="0" collapsed="false">
      <c r="A18" s="7" t="s">
        <v>84</v>
      </c>
      <c r="B18" s="8" t="n">
        <f aca="false">SUM(B14:B17)</f>
        <v>382000</v>
      </c>
      <c r="C18" s="8" t="n">
        <f aca="false">SUM(C14:C17)</f>
        <v>425000</v>
      </c>
      <c r="D18" s="8" t="n">
        <f aca="false">SUM(D14:D17)</f>
        <v>485000</v>
      </c>
    </row>
    <row r="19" customFormat="false" ht="15" hidden="false" customHeight="false" outlineLevel="0" collapsed="false">
      <c r="A19" s="9" t="s">
        <v>85</v>
      </c>
      <c r="B19" s="22" t="n">
        <v>180000</v>
      </c>
      <c r="C19" s="22" t="n">
        <v>120000</v>
      </c>
      <c r="D19" s="22" t="n">
        <v>75000</v>
      </c>
    </row>
    <row r="20" customFormat="false" ht="15" hidden="false" customHeight="false" outlineLevel="0" collapsed="false">
      <c r="A20" s="7" t="s">
        <v>86</v>
      </c>
      <c r="B20" s="8" t="n">
        <f aca="false">B18+B19</f>
        <v>562000</v>
      </c>
      <c r="C20" s="8" t="n">
        <f aca="false">C18+C19</f>
        <v>545000</v>
      </c>
      <c r="D20" s="8" t="n">
        <f aca="false">D18+D19</f>
        <v>560000</v>
      </c>
    </row>
    <row r="21" customFormat="false" ht="15" hidden="false" customHeight="false" outlineLevel="0" collapsed="false">
      <c r="A21" s="9"/>
      <c r="B21" s="14"/>
      <c r="C21" s="14"/>
      <c r="D21" s="14"/>
    </row>
    <row r="22" customFormat="false" ht="15" hidden="false" customHeight="false" outlineLevel="0" collapsed="false">
      <c r="A22" s="19" t="s">
        <v>87</v>
      </c>
      <c r="B22" s="20"/>
      <c r="C22" s="20"/>
      <c r="D22" s="20"/>
    </row>
    <row r="23" customFormat="false" ht="15" hidden="false" customHeight="false" outlineLevel="0" collapsed="false">
      <c r="A23" s="9" t="s">
        <v>88</v>
      </c>
      <c r="B23" s="29" t="n">
        <f aca="false">Assumptions!$B$11</f>
        <v>500000</v>
      </c>
      <c r="C23" s="29" t="n">
        <f aca="false">Assumptions!$B$11</f>
        <v>500000</v>
      </c>
      <c r="D23" s="29" t="n">
        <f aca="false">Assumptions!$B$11</f>
        <v>500000</v>
      </c>
    </row>
    <row r="24" customFormat="false" ht="15" hidden="false" customHeight="false" outlineLevel="0" collapsed="false">
      <c r="A24" s="9" t="s">
        <v>89</v>
      </c>
      <c r="B24" s="29" t="n">
        <f aca="false">Assumptions!$B$10+'Income Statement'!B41-Assumptions!$B$12</f>
        <v>629000</v>
      </c>
      <c r="C24" s="29" t="n">
        <f aca="false">B24+'Income Statement'!C41-Assumptions!$B$8</f>
        <v>836000</v>
      </c>
      <c r="D24" s="29" t="n">
        <f aca="false">C24+'Income Statement'!G41-Assumptions!$B$9</f>
        <v>1100750</v>
      </c>
    </row>
    <row r="25" customFormat="false" ht="15" hidden="false" customHeight="false" outlineLevel="0" collapsed="false">
      <c r="A25" s="7" t="s">
        <v>90</v>
      </c>
      <c r="B25" s="8" t="n">
        <f aca="false">B23+B24</f>
        <v>1129000</v>
      </c>
      <c r="C25" s="8" t="n">
        <f aca="false">C23+C24</f>
        <v>1336000</v>
      </c>
      <c r="D25" s="8" t="n">
        <f aca="false">D23+D24</f>
        <v>1600750</v>
      </c>
    </row>
    <row r="26" customFormat="false" ht="15" hidden="false" customHeight="false" outlineLevel="0" collapsed="false">
      <c r="A26" s="7" t="s">
        <v>91</v>
      </c>
      <c r="B26" s="8" t="n">
        <f aca="false">B20+B25</f>
        <v>1691000</v>
      </c>
      <c r="C26" s="8" t="n">
        <f aca="false">C20+C25</f>
        <v>1881000</v>
      </c>
      <c r="D26" s="8" t="n">
        <f aca="false">D20+D25</f>
        <v>2160750</v>
      </c>
    </row>
    <row r="27" customFormat="false" ht="15" hidden="false" customHeight="false" outlineLevel="0" collapsed="false">
      <c r="A27" s="9" t="s">
        <v>92</v>
      </c>
      <c r="B27" s="14" t="n">
        <f aca="false">ROUND(B11-B26,2)</f>
        <v>0</v>
      </c>
      <c r="C27" s="14" t="n">
        <f aca="false">ROUND(C11-C26,2)</f>
        <v>0</v>
      </c>
      <c r="D27" s="14" t="n">
        <f aca="false">ROUND(D11-D26,2)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1</v>
      </c>
    </row>
    <row r="4" customFormat="false" ht="25.5" hidden="false" customHeight="true" outlineLevel="0" collapsed="false">
      <c r="A4" s="3" t="s">
        <v>27</v>
      </c>
      <c r="B4" s="4" t="s">
        <v>4</v>
      </c>
      <c r="C4" s="4" t="s">
        <v>5</v>
      </c>
    </row>
    <row r="5" customFormat="false" ht="15" hidden="false" customHeight="false" outlineLevel="0" collapsed="false">
      <c r="A5" s="30" t="s">
        <v>9</v>
      </c>
      <c r="B5" s="29" t="n">
        <f aca="false">'Income Statement'!C41</f>
        <v>327000</v>
      </c>
      <c r="C5" s="29" t="n">
        <f aca="false">'Income Statement'!G41</f>
        <v>354750</v>
      </c>
    </row>
    <row r="6" customFormat="false" ht="15" hidden="false" customHeight="false" outlineLevel="0" collapsed="false">
      <c r="A6" s="30" t="s">
        <v>94</v>
      </c>
      <c r="B6" s="29" t="n">
        <f aca="false">'Income Statement'!C32</f>
        <v>100000</v>
      </c>
      <c r="C6" s="29" t="n">
        <f aca="false">'Income Statement'!G32</f>
        <v>79500</v>
      </c>
    </row>
    <row r="7" customFormat="false" ht="15" hidden="false" customHeight="false" outlineLevel="0" collapsed="false">
      <c r="A7" s="30" t="s">
        <v>95</v>
      </c>
      <c r="B7" s="29" t="n">
        <f aca="false">'Balance Sheet'!B7-'Balance Sheet'!C7</f>
        <v>-70000</v>
      </c>
      <c r="C7" s="29" t="n">
        <f aca="false">'Balance Sheet'!C7-'Balance Sheet'!D7</f>
        <v>-70000</v>
      </c>
    </row>
    <row r="8" customFormat="false" ht="15" hidden="false" customHeight="false" outlineLevel="0" collapsed="false">
      <c r="A8" s="30" t="s">
        <v>96</v>
      </c>
      <c r="B8" s="29" t="n">
        <f aca="false">'Balance Sheet'!B8-'Balance Sheet'!C8</f>
        <v>-8000</v>
      </c>
      <c r="C8" s="29" t="n">
        <f aca="false">'Balance Sheet'!C8-'Balance Sheet'!D8</f>
        <v>-7000</v>
      </c>
    </row>
    <row r="9" customFormat="false" ht="15" hidden="false" customHeight="false" outlineLevel="0" collapsed="false">
      <c r="A9" s="30" t="s">
        <v>97</v>
      </c>
      <c r="B9" s="29" t="n">
        <f aca="false">'Balance Sheet'!C14-'Balance Sheet'!B14</f>
        <v>20000</v>
      </c>
      <c r="C9" s="29" t="n">
        <f aca="false">'Balance Sheet'!D14-'Balance Sheet'!C14</f>
        <v>20000</v>
      </c>
    </row>
    <row r="10" customFormat="false" ht="15" hidden="false" customHeight="false" outlineLevel="0" collapsed="false">
      <c r="A10" s="30" t="s">
        <v>98</v>
      </c>
      <c r="B10" s="29" t="n">
        <f aca="false">'Balance Sheet'!C15-'Balance Sheet'!B15</f>
        <v>15000</v>
      </c>
      <c r="C10" s="29" t="n">
        <f aca="false">'Balance Sheet'!D15-'Balance Sheet'!C15</f>
        <v>15000</v>
      </c>
    </row>
    <row r="11" customFormat="false" ht="15" hidden="false" customHeight="false" outlineLevel="0" collapsed="false">
      <c r="A11" s="30" t="s">
        <v>99</v>
      </c>
      <c r="B11" s="29" t="n">
        <f aca="false">'Balance Sheet'!C16-'Balance Sheet'!B16</f>
        <v>8000</v>
      </c>
      <c r="C11" s="29" t="n">
        <f aca="false">'Balance Sheet'!D16-'Balance Sheet'!C16</f>
        <v>25000</v>
      </c>
    </row>
    <row r="12" customFormat="false" ht="15" hidden="false" customHeight="false" outlineLevel="0" collapsed="false">
      <c r="A12" s="7" t="s">
        <v>100</v>
      </c>
      <c r="B12" s="8" t="n">
        <f aca="false">SUM(B5:B11)</f>
        <v>392000</v>
      </c>
      <c r="C12" s="8" t="n">
        <f aca="false">SUM(C5:C11)</f>
        <v>417250</v>
      </c>
    </row>
    <row r="13" customFormat="false" ht="15" hidden="false" customHeight="false" outlineLevel="0" collapsed="false">
      <c r="A13" s="19" t="s">
        <v>101</v>
      </c>
      <c r="B13" s="20"/>
      <c r="C13" s="20"/>
    </row>
    <row r="14" customFormat="false" ht="15" hidden="false" customHeight="false" outlineLevel="0" collapsed="false">
      <c r="A14" s="30" t="s">
        <v>102</v>
      </c>
      <c r="B14" s="29" t="n">
        <f aca="false">-('Balance Sheet'!C10-'Balance Sheet'!B10+B6)</f>
        <v>-122000</v>
      </c>
      <c r="C14" s="29" t="n">
        <f aca="false">-('Balance Sheet'!D10-'Balance Sheet'!C10+C6)</f>
        <v>-82500</v>
      </c>
    </row>
    <row r="15" customFormat="false" ht="15" hidden="false" customHeight="false" outlineLevel="0" collapsed="false">
      <c r="A15" s="7" t="s">
        <v>103</v>
      </c>
      <c r="B15" s="8" t="n">
        <f aca="false">B14</f>
        <v>-122000</v>
      </c>
      <c r="C15" s="8" t="n">
        <f aca="false">C14</f>
        <v>-82500</v>
      </c>
    </row>
    <row r="16" customFormat="false" ht="15" hidden="false" customHeight="false" outlineLevel="0" collapsed="false">
      <c r="A16" s="19" t="s">
        <v>104</v>
      </c>
      <c r="B16" s="20"/>
      <c r="C16" s="20"/>
    </row>
    <row r="17" customFormat="false" ht="15" hidden="false" customHeight="false" outlineLevel="0" collapsed="false">
      <c r="A17" s="30" t="s">
        <v>105</v>
      </c>
      <c r="B17" s="29" t="n">
        <f aca="false">('Balance Sheet'!C17+'Balance Sheet'!C19)-('Balance Sheet'!B17+'Balance Sheet'!B19)</f>
        <v>-60000</v>
      </c>
      <c r="C17" s="29" t="n">
        <f aca="false">('Balance Sheet'!D17+'Balance Sheet'!D19)-('Balance Sheet'!C17+'Balance Sheet'!C19)</f>
        <v>-45000</v>
      </c>
    </row>
    <row r="18" customFormat="false" ht="15" hidden="false" customHeight="false" outlineLevel="0" collapsed="false">
      <c r="A18" s="30" t="s">
        <v>106</v>
      </c>
      <c r="B18" s="29" t="n">
        <f aca="false">-Assumptions!$B$8</f>
        <v>-120000</v>
      </c>
      <c r="C18" s="29" t="n">
        <f aca="false">-Assumptions!$B$9</f>
        <v>-90000</v>
      </c>
    </row>
    <row r="19" customFormat="false" ht="15" hidden="false" customHeight="false" outlineLevel="0" collapsed="false">
      <c r="A19" s="7" t="s">
        <v>107</v>
      </c>
      <c r="B19" s="8" t="n">
        <f aca="false">B17+B18</f>
        <v>-180000</v>
      </c>
      <c r="C19" s="8" t="n">
        <f aca="false">C17+C18</f>
        <v>-135000</v>
      </c>
    </row>
    <row r="20" customFormat="false" ht="15" hidden="false" customHeight="false" outlineLevel="0" collapsed="false">
      <c r="A20" s="7" t="s">
        <v>108</v>
      </c>
      <c r="B20" s="8" t="n">
        <f aca="false">B12+B15+B19</f>
        <v>90000</v>
      </c>
      <c r="C20" s="8" t="n">
        <f aca="false">C12+C15+C19</f>
        <v>199750</v>
      </c>
    </row>
    <row r="21" customFormat="false" ht="15" hidden="false" customHeight="false" outlineLevel="0" collapsed="false">
      <c r="A21" s="30" t="s">
        <v>109</v>
      </c>
      <c r="B21" s="29" t="n">
        <f aca="false">'Balance Sheet'!B6</f>
        <v>1061000</v>
      </c>
      <c r="C21" s="29" t="n">
        <f aca="false">'Balance Sheet'!C6</f>
        <v>1151000</v>
      </c>
    </row>
    <row r="22" customFormat="false" ht="15" hidden="false" customHeight="false" outlineLevel="0" collapsed="false">
      <c r="A22" s="7" t="s">
        <v>110</v>
      </c>
      <c r="B22" s="8" t="n">
        <f aca="false">B20+B21</f>
        <v>1151000</v>
      </c>
      <c r="C22" s="8" t="n">
        <f aca="false">C20+C21</f>
        <v>1350750</v>
      </c>
    </row>
    <row r="23" customFormat="false" ht="15" hidden="false" customHeight="false" outlineLevel="0" collapsed="false">
      <c r="A23" s="30" t="s">
        <v>111</v>
      </c>
      <c r="B23" s="31" t="n">
        <f aca="false">ROUND(B22-'Balance Sheet'!C6,2)</f>
        <v>0</v>
      </c>
      <c r="C23" s="31" t="n">
        <f aca="false">ROUND(C22-'Balance Sheet'!D6,2)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113</v>
      </c>
      <c r="B4" s="4" t="s">
        <v>114</v>
      </c>
      <c r="C4" s="4" t="s">
        <v>115</v>
      </c>
      <c r="D4" s="4" t="s">
        <v>116</v>
      </c>
      <c r="E4" s="4" t="s">
        <v>117</v>
      </c>
    </row>
    <row r="5" customFormat="false" ht="15" hidden="false" customHeight="false" outlineLevel="0" collapsed="false">
      <c r="A5" s="9" t="s">
        <v>118</v>
      </c>
      <c r="B5" s="9" t="n">
        <v>1</v>
      </c>
      <c r="C5" s="32" t="n">
        <v>21250</v>
      </c>
      <c r="D5" s="32" t="n">
        <v>15725</v>
      </c>
      <c r="E5" s="9" t="s">
        <v>119</v>
      </c>
    </row>
    <row r="6" customFormat="false" ht="15" hidden="false" customHeight="false" outlineLevel="0" collapsed="false">
      <c r="A6" s="9" t="s">
        <v>120</v>
      </c>
      <c r="B6" s="9" t="n">
        <v>3</v>
      </c>
      <c r="C6" s="32" t="n">
        <v>38316.66</v>
      </c>
      <c r="D6" s="32" t="n">
        <v>30645.16</v>
      </c>
      <c r="E6" s="9" t="s">
        <v>119</v>
      </c>
    </row>
    <row r="7" customFormat="false" ht="15" hidden="false" customHeight="false" outlineLevel="0" collapsed="false">
      <c r="A7" s="9" t="s">
        <v>121</v>
      </c>
      <c r="B7" s="9" t="n">
        <v>2</v>
      </c>
      <c r="C7" s="32" t="n">
        <v>17550</v>
      </c>
      <c r="D7" s="32" t="n">
        <v>15247</v>
      </c>
      <c r="E7" s="9" t="s">
        <v>119</v>
      </c>
    </row>
    <row r="8" customFormat="false" ht="15" hidden="false" customHeight="false" outlineLevel="0" collapsed="false">
      <c r="A8" s="9" t="s">
        <v>122</v>
      </c>
      <c r="B8" s="9" t="n">
        <v>2</v>
      </c>
      <c r="C8" s="32" t="n">
        <v>17300</v>
      </c>
      <c r="D8" s="32" t="n">
        <v>14547.17</v>
      </c>
      <c r="E8" s="9" t="s">
        <v>119</v>
      </c>
    </row>
    <row r="9" customFormat="false" ht="15" hidden="false" customHeight="false" outlineLevel="0" collapsed="false">
      <c r="A9" s="9" t="s">
        <v>123</v>
      </c>
      <c r="B9" s="9" t="n">
        <v>3</v>
      </c>
      <c r="C9" s="32" t="n">
        <v>29183.34</v>
      </c>
      <c r="D9" s="32" t="n">
        <v>24603.01</v>
      </c>
      <c r="E9" s="9" t="s">
        <v>124</v>
      </c>
    </row>
    <row r="10" customFormat="false" ht="15" hidden="false" customHeight="false" outlineLevel="0" collapsed="false">
      <c r="A10" s="9" t="s">
        <v>125</v>
      </c>
      <c r="B10" s="9" t="n">
        <v>3</v>
      </c>
      <c r="C10" s="32" t="n">
        <v>24666.66</v>
      </c>
      <c r="D10" s="32" t="n">
        <v>21399.16</v>
      </c>
      <c r="E10" s="9" t="s">
        <v>124</v>
      </c>
    </row>
    <row r="11" customFormat="false" ht="15" hidden="false" customHeight="false" outlineLevel="0" collapsed="false">
      <c r="A11" s="9" t="s">
        <v>126</v>
      </c>
      <c r="B11" s="9" t="n">
        <v>6</v>
      </c>
      <c r="C11" s="32" t="n">
        <v>69233.34</v>
      </c>
      <c r="D11" s="32" t="n">
        <v>57119.51</v>
      </c>
      <c r="E11" s="9" t="s">
        <v>127</v>
      </c>
    </row>
    <row r="12" customFormat="false" ht="15" hidden="false" customHeight="false" outlineLevel="0" collapsed="false">
      <c r="A12" s="7" t="s">
        <v>128</v>
      </c>
      <c r="B12" s="7" t="n">
        <f aca="false">SUM(B5:B11)</f>
        <v>20</v>
      </c>
      <c r="C12" s="33" t="n">
        <f aca="false">SUM(C5:C11)</f>
        <v>217500</v>
      </c>
      <c r="D12" s="33" t="n">
        <f aca="false">SUM(D5:D11)</f>
        <v>179286.01</v>
      </c>
      <c r="E12" s="7"/>
    </row>
    <row r="13" customFormat="false" ht="15" hidden="false" customHeight="false" outlineLevel="0" collapsed="false">
      <c r="A13" s="9" t="s">
        <v>129</v>
      </c>
      <c r="B13" s="9"/>
      <c r="C13" s="32" t="n">
        <v>217500</v>
      </c>
      <c r="D13" s="32"/>
      <c r="E13" s="9"/>
    </row>
    <row r="14" customFormat="false" ht="15" hidden="false" customHeight="false" outlineLevel="0" collapsed="false">
      <c r="A14" s="5" t="s">
        <v>130</v>
      </c>
      <c r="B14" s="5"/>
      <c r="C14" s="34" t="n">
        <f aca="false">ROUND(C12-C13,2)</f>
        <v>0</v>
      </c>
      <c r="D14" s="34"/>
      <c r="E14" s="5"/>
    </row>
    <row r="17" customFormat="false" ht="30" hidden="false" customHeight="true" outlineLevel="0" collapsed="false">
      <c r="A17" s="3" t="s">
        <v>131</v>
      </c>
      <c r="B17" s="4"/>
      <c r="C17" s="4" t="s">
        <v>132</v>
      </c>
      <c r="D17" s="4" t="s">
        <v>133</v>
      </c>
      <c r="E17" s="4" t="s">
        <v>130</v>
      </c>
    </row>
    <row r="18" customFormat="false" ht="15" hidden="false" customHeight="false" outlineLevel="0" collapsed="false">
      <c r="A18" s="9" t="s">
        <v>134</v>
      </c>
      <c r="B18" s="9"/>
      <c r="C18" s="35" t="n">
        <f aca="false">'Income Statement'!F13</f>
        <v>207700.02</v>
      </c>
      <c r="D18" s="32" t="n">
        <f aca="false">C11*3</f>
        <v>207700.02</v>
      </c>
      <c r="E18" s="32" t="n">
        <f aca="false">ROUND(C18-D18,2)</f>
        <v>0</v>
      </c>
    </row>
    <row r="19" customFormat="false" ht="15" hidden="false" customHeight="false" outlineLevel="0" collapsed="false">
      <c r="A19" s="9" t="s">
        <v>124</v>
      </c>
      <c r="B19" s="9"/>
      <c r="C19" s="35" t="n">
        <f aca="false">'Income Statement'!F21</f>
        <v>161550</v>
      </c>
      <c r="D19" s="32" t="n">
        <f aca="false">(C9+C10)*3</f>
        <v>161550</v>
      </c>
      <c r="E19" s="32" t="n">
        <f aca="false">ROUND(C19-D19,2)</f>
        <v>0</v>
      </c>
    </row>
    <row r="20" customFormat="false" ht="15" hidden="false" customHeight="false" outlineLevel="0" collapsed="false">
      <c r="A20" s="9" t="s">
        <v>135</v>
      </c>
      <c r="B20" s="9"/>
      <c r="C20" s="35" t="n">
        <f aca="false">'Income Statement'!F22</f>
        <v>283249.98</v>
      </c>
      <c r="D20" s="32" t="n">
        <f aca="false">(C5+C6+C7+C8)*3</f>
        <v>283249.98</v>
      </c>
      <c r="E20" s="32" t="n">
        <f aca="false">ROUND(C20-D20,2)</f>
        <v>0</v>
      </c>
    </row>
    <row r="22" customFormat="false" ht="15" hidden="false" customHeight="false" outlineLevel="0" collapsed="false">
      <c r="A22" s="36" t="s">
        <v>136</v>
      </c>
      <c r="C22" s="37" t="n">
        <f aca="false">C12*12</f>
        <v>2610000</v>
      </c>
    </row>
    <row r="23" customFormat="false" ht="15" hidden="false" customHeight="false" outlineLevel="0" collapsed="false">
      <c r="A23" s="0" t="s">
        <v>137</v>
      </c>
      <c r="C23" s="38" t="n">
        <f aca="false">C22/'Income Statement'!H10</f>
        <v>0.539256198347108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139</v>
      </c>
      <c r="B4" s="4" t="s">
        <v>140</v>
      </c>
      <c r="C4" s="4" t="s">
        <v>141</v>
      </c>
    </row>
    <row r="5" customFormat="false" ht="15" hidden="false" customHeight="false" outlineLevel="0" collapsed="false">
      <c r="A5" s="9" t="s">
        <v>142</v>
      </c>
      <c r="B5" s="39" t="n">
        <v>0.25</v>
      </c>
      <c r="C5" s="40" t="s">
        <v>143</v>
      </c>
    </row>
    <row r="6" customFormat="false" ht="15" hidden="false" customHeight="false" outlineLevel="0" collapsed="false">
      <c r="A6" s="9" t="s">
        <v>144</v>
      </c>
      <c r="B6" s="41" t="n">
        <v>20</v>
      </c>
      <c r="C6" s="40" t="s">
        <v>145</v>
      </c>
    </row>
    <row r="7" customFormat="false" ht="15" hidden="false" customHeight="false" outlineLevel="0" collapsed="false">
      <c r="A7" s="9" t="s">
        <v>146</v>
      </c>
      <c r="B7" s="41" t="n">
        <v>273</v>
      </c>
      <c r="C7" s="40" t="s">
        <v>147</v>
      </c>
    </row>
    <row r="8" customFormat="false" ht="15" hidden="false" customHeight="false" outlineLevel="0" collapsed="false">
      <c r="A8" s="9" t="s">
        <v>148</v>
      </c>
      <c r="B8" s="22" t="n">
        <v>120000</v>
      </c>
      <c r="C8" s="40" t="s">
        <v>149</v>
      </c>
    </row>
    <row r="9" customFormat="false" ht="15" hidden="false" customHeight="false" outlineLevel="0" collapsed="false">
      <c r="A9" s="9" t="s">
        <v>150</v>
      </c>
      <c r="B9" s="22" t="n">
        <v>90000</v>
      </c>
      <c r="C9" s="40" t="s">
        <v>151</v>
      </c>
    </row>
    <row r="10" customFormat="false" ht="15" hidden="false" customHeight="false" outlineLevel="0" collapsed="false">
      <c r="A10" s="9" t="s">
        <v>152</v>
      </c>
      <c r="B10" s="22" t="n">
        <v>600000</v>
      </c>
      <c r="C10" s="40" t="s">
        <v>153</v>
      </c>
    </row>
    <row r="11" customFormat="false" ht="15" hidden="false" customHeight="false" outlineLevel="0" collapsed="false">
      <c r="A11" s="9" t="s">
        <v>154</v>
      </c>
      <c r="B11" s="22" t="n">
        <v>500000</v>
      </c>
      <c r="C11" s="40" t="s">
        <v>155</v>
      </c>
    </row>
    <row r="12" customFormat="false" ht="15" hidden="false" customHeight="false" outlineLevel="0" collapsed="false">
      <c r="A12" s="9" t="s">
        <v>156</v>
      </c>
      <c r="B12" s="22" t="n">
        <v>100000</v>
      </c>
      <c r="C12" s="40"/>
    </row>
    <row r="15" customFormat="false" ht="15" hidden="false" customHeight="false" outlineLevel="0" collapsed="false">
      <c r="A15" s="42" t="s">
        <v>157</v>
      </c>
    </row>
    <row r="16" customFormat="false" ht="15" hidden="false" customHeight="false" outlineLevel="0" collapsed="false">
      <c r="A16" s="43" t="s">
        <v>158</v>
      </c>
    </row>
    <row r="17" customFormat="false" ht="15" hidden="false" customHeight="false" outlineLevel="0" collapsed="false">
      <c r="A17" s="43" t="s">
        <v>159</v>
      </c>
    </row>
    <row r="18" customFormat="false" ht="15" hidden="false" customHeight="false" outlineLevel="0" collapsed="false">
      <c r="A18" s="43" t="s">
        <v>160</v>
      </c>
    </row>
    <row r="19" customFormat="false" ht="15" hidden="false" customHeight="false" outlineLevel="0" collapsed="false">
      <c r="A19" s="43" t="s">
        <v>161</v>
      </c>
    </row>
    <row r="20" customFormat="false" ht="15" hidden="false" customHeight="false" outlineLevel="0" collapsed="false">
      <c r="A20" s="43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2026-10-05T06:22:32Z</dcterms:created>
  <dc:creator>openpyxl</dc:creator>
  <dc:description/>
  <dc:language>en-US</dc:language>
  <cp:lastModifiedBy/>
  <dcterms:modified xsi:type="dcterms:W3CDTF">2026-10-05T06:22:32Z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