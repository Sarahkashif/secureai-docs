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base" sheetId="1" state="visible" r:id="rId3"/>
    <sheet name="Summary" sheetId="2" state="visible" r:id="rId4"/>
  </sheets>
  <definedNames>
    <definedName function="false" hidden="true" localSheetId="0" name="_xlnm._FilterDatabase" vbProcedure="false">'Employee Database'!$A$4:$P$24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<sst xmlns="http://schemas.openxmlformats.org/spreadsheetml/2006/main" count="270" uniqueCount="156">
  <si>
    <t xml:space="preserve">Nexora Technologies Ltd. — Employee Database</t>
  </si>
  <si>
    <t xml:space="preserve">CONFIDENTIAL – Internal HR use only. Age and Years of Service are formulas based on today's date. All data is fictional.</t>
  </si>
  <si>
    <t xml:space="preserve">Employee ID</t>
  </si>
  <si>
    <t xml:space="preserve">Full Name</t>
  </si>
  <si>
    <t xml:space="preserve">Gender</t>
  </si>
  <si>
    <t xml:space="preserve">Date of Birth</t>
  </si>
  <si>
    <t xml:space="preserve">Age</t>
  </si>
  <si>
    <t xml:space="preserve">Email</t>
  </si>
  <si>
    <t xml:space="preserve">Phone</t>
  </si>
  <si>
    <t xml:space="preserve">Department</t>
  </si>
  <si>
    <t xml:space="preserve">Designation</t>
  </si>
  <si>
    <t xml:space="preserve">Reporting Manager</t>
  </si>
  <si>
    <t xml:space="preserve">Date of Joining</t>
  </si>
  <si>
    <t xml:space="preserve">Years of Service</t>
  </si>
  <si>
    <t xml:space="preserve">Employment Type</t>
  </si>
  <si>
    <t xml:space="preserve">Work Location</t>
  </si>
  <si>
    <t xml:space="preserve">Status</t>
  </si>
  <si>
    <t xml:space="preserve">Emergency Contact</t>
  </si>
  <si>
    <t xml:space="preserve">NX-001</t>
  </si>
  <si>
    <t xml:space="preserve">Daniel Carter</t>
  </si>
  <si>
    <t xml:space="preserve">Male</t>
  </si>
  <si>
    <t xml:space="preserve">daniel.carter@nexora-tech.com</t>
  </si>
  <si>
    <t xml:space="preserve">+1-555-0110-1000</t>
  </si>
  <si>
    <t xml:space="preserve">Executive</t>
  </si>
  <si>
    <t xml:space="preserve">Chief Executive Officer</t>
  </si>
  <si>
    <t xml:space="preserve">— (Top Management)</t>
  </si>
  <si>
    <t xml:space="preserve">Full-time</t>
  </si>
  <si>
    <t xml:space="preserve">Head Office</t>
  </si>
  <si>
    <t xml:space="preserve">Active</t>
  </si>
  <si>
    <t xml:space="preserve">Isabella Carter (Family) +1-555-0210-2000</t>
  </si>
  <si>
    <t xml:space="preserve">NX-002</t>
  </si>
  <si>
    <t xml:space="preserve">Sophia Bennett</t>
  </si>
  <si>
    <t xml:space="preserve">Female</t>
  </si>
  <si>
    <t xml:space="preserve">sophia.bennett@nexora-tech.com</t>
  </si>
  <si>
    <t xml:space="preserve">+1-555-0111-1037</t>
  </si>
  <si>
    <t xml:space="preserve">Finance</t>
  </si>
  <si>
    <t xml:space="preserve">Chief Financial Officer</t>
  </si>
  <si>
    <t xml:space="preserve">Liam Bennett (Family) +1-555-0211-2041</t>
  </si>
  <si>
    <t xml:space="preserve">NX-003</t>
  </si>
  <si>
    <t xml:space="preserve">Marcus Reed</t>
  </si>
  <si>
    <t xml:space="preserve">marcus.reed@nexora-tech.com</t>
  </si>
  <si>
    <t xml:space="preserve">+1-555-0112-1074</t>
  </si>
  <si>
    <t xml:space="preserve">Technology</t>
  </si>
  <si>
    <t xml:space="preserve">Chief Technology Officer</t>
  </si>
  <si>
    <t xml:space="preserve">Ava Reed (Family) +1-555-0212-2082</t>
  </si>
  <si>
    <t xml:space="preserve">NX-004</t>
  </si>
  <si>
    <t xml:space="preserve">Olivia Hughes</t>
  </si>
  <si>
    <t xml:space="preserve">olivia.hughes@nexora-tech.com</t>
  </si>
  <si>
    <t xml:space="preserve">+1-555-0113-1111</t>
  </si>
  <si>
    <t xml:space="preserve">Human Resources</t>
  </si>
  <si>
    <t xml:space="preserve">HR Manager</t>
  </si>
  <si>
    <t xml:space="preserve">Noah Hughes (Family) +1-555-0213-2123</t>
  </si>
  <si>
    <t xml:space="preserve">NX-005</t>
  </si>
  <si>
    <t xml:space="preserve">Ethan Brooks</t>
  </si>
  <si>
    <t xml:space="preserve">ethan.brooks@nexora-tech.com</t>
  </si>
  <si>
    <t xml:space="preserve">+1-555-0114-1148</t>
  </si>
  <si>
    <t xml:space="preserve">Senior Software Engineer</t>
  </si>
  <si>
    <t xml:space="preserve">Emma Brooks (Family) +1-555-0214-2164</t>
  </si>
  <si>
    <t xml:space="preserve">NX-006</t>
  </si>
  <si>
    <t xml:space="preserve">Isabella Foster</t>
  </si>
  <si>
    <t xml:space="preserve">isabella.foster@nexora-tech.com</t>
  </si>
  <si>
    <t xml:space="preserve">+1-555-0115-1185</t>
  </si>
  <si>
    <t xml:space="preserve">Software Engineer</t>
  </si>
  <si>
    <t xml:space="preserve">James Foster (Family) +1-555-0215-2205</t>
  </si>
  <si>
    <t xml:space="preserve">NX-007</t>
  </si>
  <si>
    <t xml:space="preserve">Liam Sanders</t>
  </si>
  <si>
    <t xml:space="preserve">liam.sanders@nexora-tech.com</t>
  </si>
  <si>
    <t xml:space="preserve">+1-555-0116-1222</t>
  </si>
  <si>
    <t xml:space="preserve">Remote</t>
  </si>
  <si>
    <t xml:space="preserve">Mia Sanders (Family) +1-555-0216-2246</t>
  </si>
  <si>
    <t xml:space="preserve">NX-008</t>
  </si>
  <si>
    <t xml:space="preserve">Ava Mitchell</t>
  </si>
  <si>
    <t xml:space="preserve">ava.mitchell@nexora-tech.com</t>
  </si>
  <si>
    <t xml:space="preserve">+1-555-0117-1259</t>
  </si>
  <si>
    <t xml:space="preserve">QA Engineer</t>
  </si>
  <si>
    <t xml:space="preserve">Benjamin Mitchell (Family) +1-555-0217-2287</t>
  </si>
  <si>
    <t xml:space="preserve">NX-009</t>
  </si>
  <si>
    <t xml:space="preserve">Noah Parker</t>
  </si>
  <si>
    <t xml:space="preserve">noah.parker@nexora-tech.com</t>
  </si>
  <si>
    <t xml:space="preserve">+1-555-0118-1296</t>
  </si>
  <si>
    <t xml:space="preserve">Sales</t>
  </si>
  <si>
    <t xml:space="preserve">Sales Manager</t>
  </si>
  <si>
    <t xml:space="preserve">Charlotte Parker (Family) +1-555-0218-2328</t>
  </si>
  <si>
    <t xml:space="preserve">NX-010</t>
  </si>
  <si>
    <t xml:space="preserve">Emma Collins</t>
  </si>
  <si>
    <t xml:space="preserve">emma.collins@nexora-tech.com</t>
  </si>
  <si>
    <t xml:space="preserve">+1-555-0119-1333</t>
  </si>
  <si>
    <t xml:space="preserve">Sales Executive</t>
  </si>
  <si>
    <t xml:space="preserve">Branch Office</t>
  </si>
  <si>
    <t xml:space="preserve">Lucas Collins (Family) +1-555-0219-2369</t>
  </si>
  <si>
    <t xml:space="preserve">NX-011</t>
  </si>
  <si>
    <t xml:space="preserve">James Ward</t>
  </si>
  <si>
    <t xml:space="preserve">james.ward@nexora-tech.com</t>
  </si>
  <si>
    <t xml:space="preserve">+1-555-0120-1370</t>
  </si>
  <si>
    <t xml:space="preserve">Amelia Ward (Family) +1-555-0220-2410</t>
  </si>
  <si>
    <t xml:space="preserve">NX-012</t>
  </si>
  <si>
    <t xml:space="preserve">Mia Turner</t>
  </si>
  <si>
    <t xml:space="preserve">mia.turner@nexora-tech.com</t>
  </si>
  <si>
    <t xml:space="preserve">+1-555-0121-1407</t>
  </si>
  <si>
    <t xml:space="preserve">Marketing</t>
  </si>
  <si>
    <t xml:space="preserve">Marketing Manager</t>
  </si>
  <si>
    <t xml:space="preserve">Henry Turner (Family) +1-555-0221-2451</t>
  </si>
  <si>
    <t xml:space="preserve">NX-013</t>
  </si>
  <si>
    <t xml:space="preserve">Benjamin Hayes</t>
  </si>
  <si>
    <t xml:space="preserve">benjamin.hayes@nexora-tech.com</t>
  </si>
  <si>
    <t xml:space="preserve">+1-555-0122-1444</t>
  </si>
  <si>
    <t xml:space="preserve">Digital Marketing Specialist</t>
  </si>
  <si>
    <t xml:space="preserve">Harper Hayes (Family) +1-555-0222-2492</t>
  </si>
  <si>
    <t xml:space="preserve">NX-014</t>
  </si>
  <si>
    <t xml:space="preserve">Charlotte Price</t>
  </si>
  <si>
    <t xml:space="preserve">charlotte.price@nexora-tech.com</t>
  </si>
  <si>
    <t xml:space="preserve">+1-555-0123-1481</t>
  </si>
  <si>
    <t xml:space="preserve">Senior Accountant</t>
  </si>
  <si>
    <t xml:space="preserve">Jack Price (Family) +1-555-0223-2533</t>
  </si>
  <si>
    <t xml:space="preserve">NX-015</t>
  </si>
  <si>
    <t xml:space="preserve">Lucas Gray</t>
  </si>
  <si>
    <t xml:space="preserve">lucas.gray@nexora-tech.com</t>
  </si>
  <si>
    <t xml:space="preserve">+1-555-0124-1518</t>
  </si>
  <si>
    <t xml:space="preserve">Accounts Assistant</t>
  </si>
  <si>
    <t xml:space="preserve">Ella Gray (Family) +1-555-0224-2574</t>
  </si>
  <si>
    <t xml:space="preserve">NX-016</t>
  </si>
  <si>
    <t xml:space="preserve">Amelia Russell</t>
  </si>
  <si>
    <t xml:space="preserve">amelia.russell@nexora-tech.com</t>
  </si>
  <si>
    <t xml:space="preserve">+1-555-0125-1555</t>
  </si>
  <si>
    <t xml:space="preserve">HR Executive</t>
  </si>
  <si>
    <t xml:space="preserve">Daniel Russell (Family) +1-555-0225-2615</t>
  </si>
  <si>
    <t xml:space="preserve">NX-017</t>
  </si>
  <si>
    <t xml:space="preserve">Henry Coleman</t>
  </si>
  <si>
    <t xml:space="preserve">henry.coleman@nexora-tech.com</t>
  </si>
  <si>
    <t xml:space="preserve">+1-555-0126-1592</t>
  </si>
  <si>
    <t xml:space="preserve">Operations</t>
  </si>
  <si>
    <t xml:space="preserve">Operations Manager</t>
  </si>
  <si>
    <t xml:space="preserve">Sophia Coleman (Family) +1-555-0226-2656</t>
  </si>
  <si>
    <t xml:space="preserve">NX-018</t>
  </si>
  <si>
    <t xml:space="preserve">Harper Jenkins</t>
  </si>
  <si>
    <t xml:space="preserve">harper.jenkins@nexora-tech.com</t>
  </si>
  <si>
    <t xml:space="preserve">+1-555-0127-1629</t>
  </si>
  <si>
    <t xml:space="preserve">Administrative Officer</t>
  </si>
  <si>
    <t xml:space="preserve">Marcus Jenkins (Family) +1-555-0227-2697</t>
  </si>
  <si>
    <t xml:space="preserve">NX-019</t>
  </si>
  <si>
    <t xml:space="preserve">Jack Stewart</t>
  </si>
  <si>
    <t xml:space="preserve">jack.stewart@nexora-tech.com</t>
  </si>
  <si>
    <t xml:space="preserve">+1-555-0128-1666</t>
  </si>
  <si>
    <t xml:space="preserve">IT Support Specialist</t>
  </si>
  <si>
    <t xml:space="preserve">Contract</t>
  </si>
  <si>
    <t xml:space="preserve">Olivia Stewart (Family) +1-555-0228-2738</t>
  </si>
  <si>
    <t xml:space="preserve">NX-020</t>
  </si>
  <si>
    <t xml:space="preserve">Ella Morgan</t>
  </si>
  <si>
    <t xml:space="preserve">ella.morgan@nexora-tech.com</t>
  </si>
  <si>
    <t xml:space="preserve">+1-555-0129-1703</t>
  </si>
  <si>
    <t xml:space="preserve">Content Writer</t>
  </si>
  <si>
    <t xml:space="preserve">Ethan Morgan (Family) +1-555-0229-2779</t>
  </si>
  <si>
    <t xml:space="preserve">Headcount Summary</t>
  </si>
  <si>
    <t xml:space="preserve">Headcount</t>
  </si>
  <si>
    <t xml:space="preserve">Avg Years of Service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</si>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</sst>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EF3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5" min="15" style="0" width="9"/>
    <col collapsed="false" customWidth="true" hidden="false" outlineLevel="0" max="16" min="16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5" t="s">
        <v>19</v>
      </c>
      <c r="C5" s="4" t="s">
        <v>20</v>
      </c>
      <c r="D5" s="6" t="n">
        <v>28563</v>
      </c>
      <c r="E5" s="4" t="n">
        <f aca="true">DATEDIF(D5,TODAY(),"Y")</f>
        <v>48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6" t="n">
        <v>42009</v>
      </c>
      <c r="L5" s="7" t="n">
        <f aca="true">ROUND((TODAY()-K5)/365.25,1)</f>
        <v>11.7</v>
      </c>
      <c r="M5" s="4" t="s">
        <v>26</v>
      </c>
      <c r="N5" s="5" t="s">
        <v>27</v>
      </c>
      <c r="O5" s="4" t="s">
        <v>28</v>
      </c>
      <c r="P5" s="5" t="s">
        <v>29</v>
      </c>
    </row>
    <row r="6" customFormat="false" ht="15" hidden="false" customHeight="false" outlineLevel="0" collapsed="false">
      <c r="A6" s="8" t="s">
        <v>30</v>
      </c>
      <c r="B6" s="9" t="s">
        <v>31</v>
      </c>
      <c r="C6" s="8" t="s">
        <v>32</v>
      </c>
      <c r="D6" s="10" t="n">
        <v>29789</v>
      </c>
      <c r="E6" s="8" t="n">
        <f aca="true">DATEDIF(D6,TODAY(),"Y")</f>
        <v>45</v>
      </c>
      <c r="F6" s="9" t="s">
        <v>33</v>
      </c>
      <c r="G6" s="9" t="s">
        <v>34</v>
      </c>
      <c r="H6" s="9" t="s">
        <v>35</v>
      </c>
      <c r="I6" s="9" t="s">
        <v>36</v>
      </c>
      <c r="J6" s="9" t="s">
        <v>19</v>
      </c>
      <c r="K6" s="10" t="n">
        <v>42064</v>
      </c>
      <c r="L6" s="11" t="n">
        <f aca="true">ROUND((TODAY()-K6)/365.25,1)</f>
        <v>11.6</v>
      </c>
      <c r="M6" s="8" t="s">
        <v>26</v>
      </c>
      <c r="N6" s="9" t="s">
        <v>27</v>
      </c>
      <c r="O6" s="8" t="s">
        <v>28</v>
      </c>
      <c r="P6" s="9" t="s">
        <v>37</v>
      </c>
    </row>
    <row r="7" customFormat="false" ht="15" hidden="false" customHeight="false" outlineLevel="0" collapsed="false">
      <c r="A7" s="4" t="s">
        <v>38</v>
      </c>
      <c r="B7" s="5" t="s">
        <v>39</v>
      </c>
      <c r="C7" s="4" t="s">
        <v>20</v>
      </c>
      <c r="D7" s="6" t="n">
        <v>30629</v>
      </c>
      <c r="E7" s="4" t="n">
        <f aca="true">DATEDIF(D7,TODAY(),"Y")</f>
        <v>42</v>
      </c>
      <c r="F7" s="5" t="s">
        <v>40</v>
      </c>
      <c r="G7" s="5" t="s">
        <v>41</v>
      </c>
      <c r="H7" s="5" t="s">
        <v>42</v>
      </c>
      <c r="I7" s="5" t="s">
        <v>43</v>
      </c>
      <c r="J7" s="5" t="s">
        <v>19</v>
      </c>
      <c r="K7" s="6" t="n">
        <v>42170</v>
      </c>
      <c r="L7" s="7" t="n">
        <f aca="true">ROUND((TODAY()-K7)/365.25,1)</f>
        <v>11.3</v>
      </c>
      <c r="M7" s="4" t="s">
        <v>26</v>
      </c>
      <c r="N7" s="5" t="s">
        <v>27</v>
      </c>
      <c r="O7" s="4" t="s">
        <v>28</v>
      </c>
      <c r="P7" s="5" t="s">
        <v>44</v>
      </c>
    </row>
    <row r="8" customFormat="false" ht="15" hidden="false" customHeight="false" outlineLevel="0" collapsed="false">
      <c r="A8" s="8" t="s">
        <v>45</v>
      </c>
      <c r="B8" s="9" t="s">
        <v>46</v>
      </c>
      <c r="C8" s="8" t="s">
        <v>32</v>
      </c>
      <c r="D8" s="10" t="n">
        <v>31081</v>
      </c>
      <c r="E8" s="8" t="n">
        <f aca="true">DATEDIF(D8,TODAY(),"Y")</f>
        <v>41</v>
      </c>
      <c r="F8" s="9" t="s">
        <v>47</v>
      </c>
      <c r="G8" s="9" t="s">
        <v>48</v>
      </c>
      <c r="H8" s="9" t="s">
        <v>49</v>
      </c>
      <c r="I8" s="9" t="s">
        <v>50</v>
      </c>
      <c r="J8" s="9" t="s">
        <v>19</v>
      </c>
      <c r="K8" s="10" t="n">
        <v>42410</v>
      </c>
      <c r="L8" s="11" t="n">
        <f aca="true">ROUND((TODAY()-K8)/365.25,1)</f>
        <v>10.7</v>
      </c>
      <c r="M8" s="8" t="s">
        <v>26</v>
      </c>
      <c r="N8" s="9" t="s">
        <v>27</v>
      </c>
      <c r="O8" s="8" t="s">
        <v>28</v>
      </c>
      <c r="P8" s="9" t="s">
        <v>51</v>
      </c>
    </row>
    <row r="9" customFormat="false" ht="15" hidden="false" customHeight="false" outlineLevel="0" collapsed="false">
      <c r="A9" s="4" t="s">
        <v>52</v>
      </c>
      <c r="B9" s="5" t="s">
        <v>53</v>
      </c>
      <c r="C9" s="4" t="s">
        <v>20</v>
      </c>
      <c r="D9" s="6" t="n">
        <v>32404</v>
      </c>
      <c r="E9" s="4" t="n">
        <f aca="true">DATEDIF(D9,TODAY(),"Y")</f>
        <v>38</v>
      </c>
      <c r="F9" s="5" t="s">
        <v>54</v>
      </c>
      <c r="G9" s="5" t="s">
        <v>55</v>
      </c>
      <c r="H9" s="5" t="s">
        <v>42</v>
      </c>
      <c r="I9" s="5" t="s">
        <v>56</v>
      </c>
      <c r="J9" s="5" t="s">
        <v>39</v>
      </c>
      <c r="K9" s="6" t="n">
        <v>42828</v>
      </c>
      <c r="L9" s="7" t="n">
        <f aca="true">ROUND((TODAY()-K9)/365.25,1)</f>
        <v>9.5</v>
      </c>
      <c r="M9" s="4" t="s">
        <v>26</v>
      </c>
      <c r="N9" s="5" t="s">
        <v>27</v>
      </c>
      <c r="O9" s="4" t="s">
        <v>28</v>
      </c>
      <c r="P9" s="5" t="s">
        <v>57</v>
      </c>
    </row>
    <row r="10" customFormat="false" ht="15" hidden="false" customHeight="false" outlineLevel="0" collapsed="false">
      <c r="A10" s="8" t="s">
        <v>58</v>
      </c>
      <c r="B10" s="9" t="s">
        <v>59</v>
      </c>
      <c r="C10" s="8" t="s">
        <v>32</v>
      </c>
      <c r="D10" s="10" t="n">
        <v>33385</v>
      </c>
      <c r="E10" s="8" t="n">
        <f aca="true">DATEDIF(D10,TODAY(),"Y")</f>
        <v>35</v>
      </c>
      <c r="F10" s="9" t="s">
        <v>60</v>
      </c>
      <c r="G10" s="9" t="s">
        <v>61</v>
      </c>
      <c r="H10" s="9" t="s">
        <v>42</v>
      </c>
      <c r="I10" s="9" t="s">
        <v>62</v>
      </c>
      <c r="J10" s="9" t="s">
        <v>39</v>
      </c>
      <c r="K10" s="10" t="n">
        <v>43696</v>
      </c>
      <c r="L10" s="11" t="n">
        <f aca="true">ROUND((TODAY()-K10)/365.25,1)</f>
        <v>7.1</v>
      </c>
      <c r="M10" s="8" t="s">
        <v>26</v>
      </c>
      <c r="N10" s="9" t="s">
        <v>27</v>
      </c>
      <c r="O10" s="8" t="s">
        <v>28</v>
      </c>
      <c r="P10" s="9" t="s">
        <v>63</v>
      </c>
    </row>
    <row r="11" customFormat="false" ht="15" hidden="false" customHeight="false" outlineLevel="0" collapsed="false">
      <c r="A11" s="4" t="s">
        <v>64</v>
      </c>
      <c r="B11" s="5" t="s">
        <v>65</v>
      </c>
      <c r="C11" s="4" t="s">
        <v>20</v>
      </c>
      <c r="D11" s="6" t="n">
        <v>34304</v>
      </c>
      <c r="E11" s="4" t="n">
        <f aca="true">DATEDIF(D11,TODAY(),"Y")</f>
        <v>32</v>
      </c>
      <c r="F11" s="5" t="s">
        <v>66</v>
      </c>
      <c r="G11" s="5" t="s">
        <v>67</v>
      </c>
      <c r="H11" s="5" t="s">
        <v>42</v>
      </c>
      <c r="I11" s="5" t="s">
        <v>62</v>
      </c>
      <c r="J11" s="5" t="s">
        <v>39</v>
      </c>
      <c r="K11" s="6" t="n">
        <v>43843</v>
      </c>
      <c r="L11" s="7" t="n">
        <f aca="true">ROUND((TODAY()-K11)/365.25,1)</f>
        <v>6.7</v>
      </c>
      <c r="M11" s="4" t="s">
        <v>26</v>
      </c>
      <c r="N11" s="5" t="s">
        <v>68</v>
      </c>
      <c r="O11" s="4" t="s">
        <v>28</v>
      </c>
      <c r="P11" s="5" t="s">
        <v>69</v>
      </c>
    </row>
    <row r="12" customFormat="false" ht="15" hidden="false" customHeight="false" outlineLevel="0" collapsed="false">
      <c r="A12" s="8" t="s">
        <v>70</v>
      </c>
      <c r="B12" s="9" t="s">
        <v>71</v>
      </c>
      <c r="C12" s="8" t="s">
        <v>32</v>
      </c>
      <c r="D12" s="10" t="n">
        <v>34805</v>
      </c>
      <c r="E12" s="8" t="n">
        <f aca="true">DATEDIF(D12,TODAY(),"Y")</f>
        <v>31</v>
      </c>
      <c r="F12" s="9" t="s">
        <v>72</v>
      </c>
      <c r="G12" s="9" t="s">
        <v>73</v>
      </c>
      <c r="H12" s="9" t="s">
        <v>42</v>
      </c>
      <c r="I12" s="9" t="s">
        <v>74</v>
      </c>
      <c r="J12" s="9" t="s">
        <v>39</v>
      </c>
      <c r="K12" s="10" t="n">
        <v>44277</v>
      </c>
      <c r="L12" s="11" t="n">
        <f aca="true">ROUND((TODAY()-K12)/365.25,1)</f>
        <v>5.5</v>
      </c>
      <c r="M12" s="8" t="s">
        <v>26</v>
      </c>
      <c r="N12" s="9" t="s">
        <v>27</v>
      </c>
      <c r="O12" s="8" t="s">
        <v>28</v>
      </c>
      <c r="P12" s="9" t="s">
        <v>75</v>
      </c>
    </row>
    <row r="13" customFormat="false" ht="15" hidden="false" customHeight="false" outlineLevel="0" collapsed="false">
      <c r="A13" s="4" t="s">
        <v>76</v>
      </c>
      <c r="B13" s="5" t="s">
        <v>77</v>
      </c>
      <c r="C13" s="4" t="s">
        <v>20</v>
      </c>
      <c r="D13" s="6" t="n">
        <v>31997</v>
      </c>
      <c r="E13" s="4" t="n">
        <f aca="true">DATEDIF(D13,TODAY(),"Y")</f>
        <v>39</v>
      </c>
      <c r="F13" s="5" t="s">
        <v>78</v>
      </c>
      <c r="G13" s="5" t="s">
        <v>79</v>
      </c>
      <c r="H13" s="5" t="s">
        <v>80</v>
      </c>
      <c r="I13" s="5" t="s">
        <v>81</v>
      </c>
      <c r="J13" s="5" t="s">
        <v>19</v>
      </c>
      <c r="K13" s="6" t="n">
        <v>42618</v>
      </c>
      <c r="L13" s="7" t="n">
        <f aca="true">ROUND((TODAY()-K13)/365.25,1)</f>
        <v>10.1</v>
      </c>
      <c r="M13" s="4" t="s">
        <v>26</v>
      </c>
      <c r="N13" s="5" t="s">
        <v>27</v>
      </c>
      <c r="O13" s="4" t="s">
        <v>28</v>
      </c>
      <c r="P13" s="5" t="s">
        <v>82</v>
      </c>
    </row>
    <row r="14" customFormat="false" ht="15" hidden="false" customHeight="false" outlineLevel="0" collapsed="false">
      <c r="A14" s="8" t="s">
        <v>83</v>
      </c>
      <c r="B14" s="9" t="s">
        <v>84</v>
      </c>
      <c r="C14" s="8" t="s">
        <v>32</v>
      </c>
      <c r="D14" s="10" t="n">
        <v>33633</v>
      </c>
      <c r="E14" s="8" t="n">
        <f aca="true">DATEDIF(D14,TODAY(),"Y")</f>
        <v>34</v>
      </c>
      <c r="F14" s="9" t="s">
        <v>85</v>
      </c>
      <c r="G14" s="9" t="s">
        <v>86</v>
      </c>
      <c r="H14" s="9" t="s">
        <v>80</v>
      </c>
      <c r="I14" s="9" t="s">
        <v>87</v>
      </c>
      <c r="J14" s="9" t="s">
        <v>77</v>
      </c>
      <c r="K14" s="10" t="n">
        <v>43773</v>
      </c>
      <c r="L14" s="11" t="n">
        <f aca="true">ROUND((TODAY()-K14)/365.25,1)</f>
        <v>6.9</v>
      </c>
      <c r="M14" s="8" t="s">
        <v>26</v>
      </c>
      <c r="N14" s="9" t="s">
        <v>88</v>
      </c>
      <c r="O14" s="8" t="s">
        <v>28</v>
      </c>
      <c r="P14" s="9" t="s">
        <v>89</v>
      </c>
    </row>
    <row r="15" customFormat="false" ht="15" hidden="false" customHeight="false" outlineLevel="0" collapsed="false">
      <c r="A15" s="4" t="s">
        <v>90</v>
      </c>
      <c r="B15" s="5" t="s">
        <v>91</v>
      </c>
      <c r="C15" s="4" t="s">
        <v>20</v>
      </c>
      <c r="D15" s="6" t="n">
        <v>34497</v>
      </c>
      <c r="E15" s="4" t="n">
        <f aca="true">DATEDIF(D15,TODAY(),"Y")</f>
        <v>32</v>
      </c>
      <c r="F15" s="5" t="s">
        <v>92</v>
      </c>
      <c r="G15" s="5" t="s">
        <v>93</v>
      </c>
      <c r="H15" s="5" t="s">
        <v>80</v>
      </c>
      <c r="I15" s="5" t="s">
        <v>87</v>
      </c>
      <c r="J15" s="5" t="s">
        <v>77</v>
      </c>
      <c r="K15" s="6" t="n">
        <v>44361</v>
      </c>
      <c r="L15" s="7" t="n">
        <f aca="true">ROUND((TODAY()-K15)/365.25,1)</f>
        <v>5.3</v>
      </c>
      <c r="M15" s="4" t="s">
        <v>26</v>
      </c>
      <c r="N15" s="5" t="s">
        <v>88</v>
      </c>
      <c r="O15" s="4" t="s">
        <v>28</v>
      </c>
      <c r="P15" s="5" t="s">
        <v>94</v>
      </c>
    </row>
    <row r="16" customFormat="false" ht="15" hidden="false" customHeight="false" outlineLevel="0" collapsed="false">
      <c r="A16" s="8" t="s">
        <v>95</v>
      </c>
      <c r="B16" s="9" t="s">
        <v>96</v>
      </c>
      <c r="C16" s="8" t="s">
        <v>32</v>
      </c>
      <c r="D16" s="10" t="n">
        <v>33171</v>
      </c>
      <c r="E16" s="8" t="n">
        <f aca="true">DATEDIF(D16,TODAY(),"Y")</f>
        <v>35</v>
      </c>
      <c r="F16" s="9" t="s">
        <v>97</v>
      </c>
      <c r="G16" s="9" t="s">
        <v>98</v>
      </c>
      <c r="H16" s="9" t="s">
        <v>99</v>
      </c>
      <c r="I16" s="9" t="s">
        <v>100</v>
      </c>
      <c r="J16" s="9" t="s">
        <v>19</v>
      </c>
      <c r="K16" s="10" t="n">
        <v>43157</v>
      </c>
      <c r="L16" s="11" t="n">
        <f aca="true">ROUND((TODAY()-K16)/365.25,1)</f>
        <v>8.6</v>
      </c>
      <c r="M16" s="8" t="s">
        <v>26</v>
      </c>
      <c r="N16" s="9" t="s">
        <v>27</v>
      </c>
      <c r="O16" s="8" t="s">
        <v>28</v>
      </c>
      <c r="P16" s="9" t="s">
        <v>101</v>
      </c>
    </row>
    <row r="17" customFormat="false" ht="15" hidden="false" customHeight="false" outlineLevel="0" collapsed="false">
      <c r="A17" s="4" t="s">
        <v>102</v>
      </c>
      <c r="B17" s="5" t="s">
        <v>103</v>
      </c>
      <c r="C17" s="4" t="s">
        <v>20</v>
      </c>
      <c r="D17" s="6" t="n">
        <v>35129</v>
      </c>
      <c r="E17" s="4" t="n">
        <f aca="true">DATEDIF(D17,TODAY(),"Y")</f>
        <v>30</v>
      </c>
      <c r="F17" s="5" t="s">
        <v>104</v>
      </c>
      <c r="G17" s="5" t="s">
        <v>105</v>
      </c>
      <c r="H17" s="5" t="s">
        <v>99</v>
      </c>
      <c r="I17" s="5" t="s">
        <v>106</v>
      </c>
      <c r="J17" s="5" t="s">
        <v>96</v>
      </c>
      <c r="K17" s="6" t="n">
        <v>44690</v>
      </c>
      <c r="L17" s="7" t="n">
        <f aca="true">ROUND((TODAY()-K17)/365.25,1)</f>
        <v>4.4</v>
      </c>
      <c r="M17" s="4" t="s">
        <v>26</v>
      </c>
      <c r="N17" s="5" t="s">
        <v>68</v>
      </c>
      <c r="O17" s="4" t="s">
        <v>28</v>
      </c>
      <c r="P17" s="5" t="s">
        <v>107</v>
      </c>
    </row>
    <row r="18" customFormat="false" ht="15" hidden="false" customHeight="false" outlineLevel="0" collapsed="false">
      <c r="A18" s="8" t="s">
        <v>108</v>
      </c>
      <c r="B18" s="9" t="s">
        <v>109</v>
      </c>
      <c r="C18" s="8" t="s">
        <v>32</v>
      </c>
      <c r="D18" s="10" t="n">
        <v>32708</v>
      </c>
      <c r="E18" s="8" t="n">
        <f aca="true">DATEDIF(D18,TODAY(),"Y")</f>
        <v>37</v>
      </c>
      <c r="F18" s="9" t="s">
        <v>110</v>
      </c>
      <c r="G18" s="9" t="s">
        <v>111</v>
      </c>
      <c r="H18" s="9" t="s">
        <v>35</v>
      </c>
      <c r="I18" s="9" t="s">
        <v>112</v>
      </c>
      <c r="J18" s="9" t="s">
        <v>31</v>
      </c>
      <c r="K18" s="10" t="n">
        <v>43297</v>
      </c>
      <c r="L18" s="11" t="n">
        <f aca="true">ROUND((TODAY()-K18)/365.25,1)</f>
        <v>8.2</v>
      </c>
      <c r="M18" s="8" t="s">
        <v>26</v>
      </c>
      <c r="N18" s="9" t="s">
        <v>27</v>
      </c>
      <c r="O18" s="8" t="s">
        <v>28</v>
      </c>
      <c r="P18" s="9" t="s">
        <v>113</v>
      </c>
    </row>
    <row r="19" customFormat="false" ht="15" hidden="false" customHeight="false" outlineLevel="0" collapsed="false">
      <c r="A19" s="4" t="s">
        <v>114</v>
      </c>
      <c r="B19" s="5" t="s">
        <v>115</v>
      </c>
      <c r="C19" s="4" t="s">
        <v>20</v>
      </c>
      <c r="D19" s="6" t="n">
        <v>35757</v>
      </c>
      <c r="E19" s="4" t="n">
        <f aca="true">DATEDIF(D19,TODAY(),"Y")</f>
        <v>28</v>
      </c>
      <c r="F19" s="5" t="s">
        <v>116</v>
      </c>
      <c r="G19" s="5" t="s">
        <v>117</v>
      </c>
      <c r="H19" s="5" t="s">
        <v>35</v>
      </c>
      <c r="I19" s="5" t="s">
        <v>118</v>
      </c>
      <c r="J19" s="5" t="s">
        <v>31</v>
      </c>
      <c r="K19" s="6" t="n">
        <v>44942</v>
      </c>
      <c r="L19" s="7" t="n">
        <f aca="true">ROUND((TODAY()-K19)/365.25,1)</f>
        <v>3.7</v>
      </c>
      <c r="M19" s="4" t="s">
        <v>26</v>
      </c>
      <c r="N19" s="5" t="s">
        <v>27</v>
      </c>
      <c r="O19" s="4" t="s">
        <v>28</v>
      </c>
      <c r="P19" s="5" t="s">
        <v>119</v>
      </c>
    </row>
    <row r="20" customFormat="false" ht="15" hidden="false" customHeight="false" outlineLevel="0" collapsed="false">
      <c r="A20" s="8" t="s">
        <v>120</v>
      </c>
      <c r="B20" s="9" t="s">
        <v>121</v>
      </c>
      <c r="C20" s="8" t="s">
        <v>32</v>
      </c>
      <c r="D20" s="10" t="n">
        <v>34579</v>
      </c>
      <c r="E20" s="8" t="n">
        <f aca="true">DATEDIF(D20,TODAY(),"Y")</f>
        <v>32</v>
      </c>
      <c r="F20" s="9" t="s">
        <v>122</v>
      </c>
      <c r="G20" s="9" t="s">
        <v>123</v>
      </c>
      <c r="H20" s="9" t="s">
        <v>49</v>
      </c>
      <c r="I20" s="9" t="s">
        <v>124</v>
      </c>
      <c r="J20" s="9" t="s">
        <v>46</v>
      </c>
      <c r="K20" s="10" t="n">
        <v>44480</v>
      </c>
      <c r="L20" s="11" t="n">
        <f aca="true">ROUND((TODAY()-K20)/365.25,1)</f>
        <v>5</v>
      </c>
      <c r="M20" s="8" t="s">
        <v>26</v>
      </c>
      <c r="N20" s="9" t="s">
        <v>27</v>
      </c>
      <c r="O20" s="8" t="s">
        <v>28</v>
      </c>
      <c r="P20" s="9" t="s">
        <v>125</v>
      </c>
    </row>
    <row r="21" customFormat="false" ht="15" hidden="false" customHeight="false" outlineLevel="0" collapsed="false">
      <c r="A21" s="4" t="s">
        <v>126</v>
      </c>
      <c r="B21" s="5" t="s">
        <v>127</v>
      </c>
      <c r="C21" s="4" t="s">
        <v>20</v>
      </c>
      <c r="D21" s="6" t="n">
        <v>31530</v>
      </c>
      <c r="E21" s="4" t="n">
        <f aca="true">DATEDIF(D21,TODAY(),"Y")</f>
        <v>40</v>
      </c>
      <c r="F21" s="5" t="s">
        <v>128</v>
      </c>
      <c r="G21" s="5" t="s">
        <v>129</v>
      </c>
      <c r="H21" s="5" t="s">
        <v>130</v>
      </c>
      <c r="I21" s="5" t="s">
        <v>131</v>
      </c>
      <c r="J21" s="5" t="s">
        <v>19</v>
      </c>
      <c r="K21" s="6" t="n">
        <v>42758</v>
      </c>
      <c r="L21" s="7" t="n">
        <f aca="true">ROUND((TODAY()-K21)/365.25,1)</f>
        <v>9.7</v>
      </c>
      <c r="M21" s="4" t="s">
        <v>26</v>
      </c>
      <c r="N21" s="5" t="s">
        <v>27</v>
      </c>
      <c r="O21" s="4" t="s">
        <v>28</v>
      </c>
      <c r="P21" s="5" t="s">
        <v>132</v>
      </c>
    </row>
    <row r="22" customFormat="false" ht="15" hidden="false" customHeight="false" outlineLevel="0" collapsed="false">
      <c r="A22" s="8" t="s">
        <v>133</v>
      </c>
      <c r="B22" s="9" t="s">
        <v>134</v>
      </c>
      <c r="C22" s="8" t="s">
        <v>32</v>
      </c>
      <c r="D22" s="10" t="n">
        <v>35840</v>
      </c>
      <c r="E22" s="8" t="n">
        <f aca="true">DATEDIF(D22,TODAY(),"Y")</f>
        <v>28</v>
      </c>
      <c r="F22" s="9" t="s">
        <v>135</v>
      </c>
      <c r="G22" s="9" t="s">
        <v>136</v>
      </c>
      <c r="H22" s="9" t="s">
        <v>130</v>
      </c>
      <c r="I22" s="9" t="s">
        <v>137</v>
      </c>
      <c r="J22" s="9" t="s">
        <v>127</v>
      </c>
      <c r="K22" s="10" t="n">
        <v>44809</v>
      </c>
      <c r="L22" s="11" t="n">
        <f aca="true">ROUND((TODAY()-K22)/365.25,1)</f>
        <v>4.1</v>
      </c>
      <c r="M22" s="8" t="s">
        <v>26</v>
      </c>
      <c r="N22" s="9" t="s">
        <v>27</v>
      </c>
      <c r="O22" s="8" t="s">
        <v>28</v>
      </c>
      <c r="P22" s="9" t="s">
        <v>138</v>
      </c>
    </row>
    <row r="23" customFormat="false" ht="15" hidden="false" customHeight="false" outlineLevel="0" collapsed="false">
      <c r="A23" s="4" t="s">
        <v>139</v>
      </c>
      <c r="B23" s="5" t="s">
        <v>140</v>
      </c>
      <c r="C23" s="4" t="s">
        <v>20</v>
      </c>
      <c r="D23" s="6" t="n">
        <v>36403</v>
      </c>
      <c r="E23" s="4" t="n">
        <f aca="true">DATEDIF(D23,TODAY(),"Y")</f>
        <v>27</v>
      </c>
      <c r="F23" s="5" t="s">
        <v>141</v>
      </c>
      <c r="G23" s="5" t="s">
        <v>142</v>
      </c>
      <c r="H23" s="5" t="s">
        <v>42</v>
      </c>
      <c r="I23" s="5" t="s">
        <v>143</v>
      </c>
      <c r="J23" s="5" t="s">
        <v>39</v>
      </c>
      <c r="K23" s="6" t="n">
        <v>45082</v>
      </c>
      <c r="L23" s="7" t="n">
        <f aca="true">ROUND((TODAY()-K23)/365.25,1)</f>
        <v>3.3</v>
      </c>
      <c r="M23" s="4" t="s">
        <v>144</v>
      </c>
      <c r="N23" s="5" t="s">
        <v>27</v>
      </c>
      <c r="O23" s="4" t="s">
        <v>28</v>
      </c>
      <c r="P23" s="5" t="s">
        <v>145</v>
      </c>
    </row>
    <row r="24" customFormat="false" ht="15" hidden="false" customHeight="false" outlineLevel="0" collapsed="false">
      <c r="A24" s="8" t="s">
        <v>146</v>
      </c>
      <c r="B24" s="9" t="s">
        <v>147</v>
      </c>
      <c r="C24" s="8" t="s">
        <v>32</v>
      </c>
      <c r="D24" s="10" t="n">
        <v>36870</v>
      </c>
      <c r="E24" s="8" t="n">
        <f aca="true">DATEDIF(D24,TODAY(),"Y")</f>
        <v>25</v>
      </c>
      <c r="F24" s="9" t="s">
        <v>148</v>
      </c>
      <c r="G24" s="9" t="s">
        <v>149</v>
      </c>
      <c r="H24" s="9" t="s">
        <v>99</v>
      </c>
      <c r="I24" s="9" t="s">
        <v>150</v>
      </c>
      <c r="J24" s="9" t="s">
        <v>96</v>
      </c>
      <c r="K24" s="10" t="n">
        <v>45334</v>
      </c>
      <c r="L24" s="11" t="n">
        <f aca="true">ROUND((TODAY()-K24)/365.25,1)</f>
        <v>2.6</v>
      </c>
      <c r="M24" s="8" t="s">
        <v>144</v>
      </c>
      <c r="N24" s="9" t="s">
        <v>68</v>
      </c>
      <c r="O24" s="8" t="s">
        <v>28</v>
      </c>
      <c r="P24" s="9" t="s">
        <v>151</v>
      </c>
    </row>
  </sheetData>
  <autoFilter ref="A4:P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12" t="s">
        <v>9</v>
      </c>
      <c r="B3" s="12" t="s">
        <v>153</v>
      </c>
      <c r="C3" s="12" t="s">
        <v>154</v>
      </c>
    </row>
    <row r="4" customFormat="false" ht="15" hidden="false" customHeight="false" outlineLevel="0" collapsed="false">
      <c r="A4" s="13" t="s">
        <v>23</v>
      </c>
      <c r="B4" s="4" t="n">
        <f aca="false">COUNTIF('Employee Database'!$H$5:$H$24,A4)</f>
        <v>1</v>
      </c>
      <c r="C4" s="4" t="n">
        <f aca="false">ROUND(AVERAGEIF('Employee Database'!$H$5:$H$24,A4,'Employee Database'!$L$5:$L$24),1)</f>
        <v>11.7</v>
      </c>
    </row>
    <row r="5" customFormat="false" ht="15" hidden="false" customHeight="false" outlineLevel="0" collapsed="false">
      <c r="A5" s="13" t="s">
        <v>35</v>
      </c>
      <c r="B5" s="4" t="n">
        <f aca="false">COUNTIF('Employee Database'!$H$5:$H$24,A5)</f>
        <v>3</v>
      </c>
      <c r="C5" s="4" t="n">
        <f aca="false">ROUND(AVERAGEIF('Employee Database'!$H$5:$H$24,A5,'Employee Database'!$L$5:$L$24),1)</f>
        <v>7.8</v>
      </c>
    </row>
    <row r="6" customFormat="false" ht="15" hidden="false" customHeight="false" outlineLevel="0" collapsed="false">
      <c r="A6" s="13" t="s">
        <v>49</v>
      </c>
      <c r="B6" s="4" t="n">
        <f aca="false">COUNTIF('Employee Database'!$H$5:$H$24,A6)</f>
        <v>2</v>
      </c>
      <c r="C6" s="4" t="n">
        <f aca="false">ROUND(AVERAGEIF('Employee Database'!$H$5:$H$24,A6,'Employee Database'!$L$5:$L$24),1)</f>
        <v>7.9</v>
      </c>
    </row>
    <row r="7" customFormat="false" ht="15" hidden="false" customHeight="false" outlineLevel="0" collapsed="false">
      <c r="A7" s="13" t="s">
        <v>99</v>
      </c>
      <c r="B7" s="4" t="n">
        <f aca="false">COUNTIF('Employee Database'!$H$5:$H$24,A7)</f>
        <v>3</v>
      </c>
      <c r="C7" s="4" t="n">
        <f aca="false">ROUND(AVERAGEIF('Employee Database'!$H$5:$H$24,A7,'Employee Database'!$L$5:$L$24),1)</f>
        <v>5.2</v>
      </c>
    </row>
    <row r="8" customFormat="false" ht="15" hidden="false" customHeight="false" outlineLevel="0" collapsed="false">
      <c r="A8" s="13" t="s">
        <v>130</v>
      </c>
      <c r="B8" s="4" t="n">
        <f aca="false">COUNTIF('Employee Database'!$H$5:$H$24,A8)</f>
        <v>2</v>
      </c>
      <c r="C8" s="4" t="n">
        <f aca="false">ROUND(AVERAGEIF('Employee Database'!$H$5:$H$24,A8,'Employee Database'!$L$5:$L$24),1)</f>
        <v>6.9</v>
      </c>
    </row>
    <row r="9" customFormat="false" ht="15" hidden="false" customHeight="false" outlineLevel="0" collapsed="false">
      <c r="A9" s="13" t="s">
        <v>80</v>
      </c>
      <c r="B9" s="4" t="n">
        <f aca="false">COUNTIF('Employee Database'!$H$5:$H$24,A9)</f>
        <v>3</v>
      </c>
      <c r="C9" s="4" t="n">
        <f aca="false">ROUND(AVERAGEIF('Employee Database'!$H$5:$H$24,A9,'Employee Database'!$L$5:$L$24),1)</f>
        <v>7.4</v>
      </c>
    </row>
    <row r="10" customFormat="false" ht="15" hidden="false" customHeight="false" outlineLevel="0" collapsed="false">
      <c r="A10" s="13" t="s">
        <v>42</v>
      </c>
      <c r="B10" s="4" t="n">
        <f aca="false">COUNTIF('Employee Database'!$H$5:$H$24,A10)</f>
        <v>6</v>
      </c>
      <c r="C10" s="4" t="n">
        <f aca="false">ROUND(AVERAGEIF('Employee Database'!$H$5:$H$24,A10,'Employee Database'!$L$5:$L$24),1)</f>
        <v>7.2</v>
      </c>
    </row>
    <row r="11" customFormat="false" ht="15" hidden="false" customHeight="false" outlineLevel="0" collapsed="false">
      <c r="A11" s="14" t="s">
        <v>155</v>
      </c>
      <c r="B11" s="15" t="n">
        <f aca="false">SUM(B4:B10)</f>
        <v>20</v>
      </c>
      <c r="C11" s="15" t="n">
        <f aca="false">ROUND(AVERAGE('Employee Database'!$L$5:$L$24),1)</f>
        <v>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2026-10-05T06:08:01Z</dcterms:created>
  <dc:creator>openpyxl</dc:creator>
  <dc:description/>
  <dc:language>en-US</dc:language>
  <cp:lastModifiedBy/>
  <dcterms:modified xsi:type="dcterms:W3CDTF">2026-10-05T06:08:01Z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