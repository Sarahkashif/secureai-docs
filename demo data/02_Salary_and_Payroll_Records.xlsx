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Sep 2026" sheetId="1" state="visible" r:id="rId3"/>
    <sheet name="Department Summary" sheetId="2" state="visible" r:id="rId4"/>
    <sheet name="Assumptions" sheetId="3" state="visible" r:id="rId5"/>
  </sheets>
  <definedNames>
    <definedName function="false" hidden="true" localSheetId="0" name="_xlnm._FilterDatabase" vbProcedure="false">'Payroll Sep 2026'!$A$4:$S$24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<sst xmlns="http://schemas.openxmlformats.org/spreadsheetml/2006/main" count="191" uniqueCount="131">
  <si>
    <t xml:space="preserve">Nexora Technologies Ltd. — Payroll Register, September 2026</t>
  </si>
  <si>
    <t xml:space="preserve">CONFIDENTIAL – Finance &amp; HR only. Amounts in USD. Bonus column (blue) is an input.</t>
  </si>
  <si>
    <t xml:space="preserve">Employee ID</t>
  </si>
  <si>
    <t xml:space="preserve">Full Name</t>
  </si>
  <si>
    <t xml:space="preserve">Department</t>
  </si>
  <si>
    <t xml:space="preserve">Designation</t>
  </si>
  <si>
    <t xml:space="preserve">Employment Type</t>
  </si>
  <si>
    <t xml:space="preserve">Annual Salary</t>
  </si>
  <si>
    <t xml:space="preserve">Bank Name</t>
  </si>
  <si>
    <t xml:space="preserve">Account No.</t>
  </si>
  <si>
    <t xml:space="preserve">Basic Salary</t>
  </si>
  <si>
    <t xml:space="preserve">HRA</t>
  </si>
  <si>
    <t xml:space="preserve">Transport Allow.</t>
  </si>
  <si>
    <t xml:space="preserve">Medical Allow.</t>
  </si>
  <si>
    <t xml:space="preserve">Bonus</t>
  </si>
  <si>
    <t xml:space="preserve">Gross Pay</t>
  </si>
  <si>
    <t xml:space="preserve">Income Tax</t>
  </si>
  <si>
    <t xml:space="preserve">Provident Fund</t>
  </si>
  <si>
    <t xml:space="preserve">Health Insurance</t>
  </si>
  <si>
    <t xml:space="preserve">Total Deductions</t>
  </si>
  <si>
    <t xml:space="preserve">Net Pay</t>
  </si>
  <si>
    <t xml:space="preserve">NX-001</t>
  </si>
  <si>
    <t xml:space="preserve">Daniel Carter</t>
  </si>
  <si>
    <t xml:space="preserve">Executive</t>
  </si>
  <si>
    <t xml:space="preserve">Chief Executive Officer</t>
  </si>
  <si>
    <t xml:space="preserve">Full-time</t>
  </si>
  <si>
    <t xml:space="preserve">Harbor Bank</t>
  </si>
  <si>
    <t xml:space="preserve">4400-07700000</t>
  </si>
  <si>
    <t xml:space="preserve">NX-002</t>
  </si>
  <si>
    <t xml:space="preserve">Sophia Bennett</t>
  </si>
  <si>
    <t xml:space="preserve">Finance</t>
  </si>
  <si>
    <t xml:space="preserve">Chief Financial Officer</t>
  </si>
  <si>
    <t xml:space="preserve">Summit Trust</t>
  </si>
  <si>
    <t xml:space="preserve">4407-07713579</t>
  </si>
  <si>
    <t xml:space="preserve">NX-003</t>
  </si>
  <si>
    <t xml:space="preserve">Marcus Reed</t>
  </si>
  <si>
    <t xml:space="preserve">Technology</t>
  </si>
  <si>
    <t xml:space="preserve">Chief Technology Officer</t>
  </si>
  <si>
    <t xml:space="preserve">Meridian Bank</t>
  </si>
  <si>
    <t xml:space="preserve">4414-07727158</t>
  </si>
  <si>
    <t xml:space="preserve">NX-004</t>
  </si>
  <si>
    <t xml:space="preserve">Olivia Hughes</t>
  </si>
  <si>
    <t xml:space="preserve">Human Resources</t>
  </si>
  <si>
    <t xml:space="preserve">HR Manager</t>
  </si>
  <si>
    <t xml:space="preserve">Pioneer Savings</t>
  </si>
  <si>
    <t xml:space="preserve">4421-07740737</t>
  </si>
  <si>
    <t xml:space="preserve">NX-005</t>
  </si>
  <si>
    <t xml:space="preserve">Ethan Brooks</t>
  </si>
  <si>
    <t xml:space="preserve">Senior Software Engineer</t>
  </si>
  <si>
    <t xml:space="preserve">4428-07754316</t>
  </si>
  <si>
    <t xml:space="preserve">NX-006</t>
  </si>
  <si>
    <t xml:space="preserve">Isabella Foster</t>
  </si>
  <si>
    <t xml:space="preserve">Software Engineer</t>
  </si>
  <si>
    <t xml:space="preserve">4435-07767895</t>
  </si>
  <si>
    <t xml:space="preserve">NX-007</t>
  </si>
  <si>
    <t xml:space="preserve">Liam Sanders</t>
  </si>
  <si>
    <t xml:space="preserve">4442-07781474</t>
  </si>
  <si>
    <t xml:space="preserve">NX-008</t>
  </si>
  <si>
    <t xml:space="preserve">Ava Mitchell</t>
  </si>
  <si>
    <t xml:space="preserve">QA Engineer</t>
  </si>
  <si>
    <t xml:space="preserve">4449-07795053</t>
  </si>
  <si>
    <t xml:space="preserve">NX-009</t>
  </si>
  <si>
    <t xml:space="preserve">Noah Parker</t>
  </si>
  <si>
    <t xml:space="preserve">Sales</t>
  </si>
  <si>
    <t xml:space="preserve">Sales Manager</t>
  </si>
  <si>
    <t xml:space="preserve">4456-07808632</t>
  </si>
  <si>
    <t xml:space="preserve">NX-010</t>
  </si>
  <si>
    <t xml:space="preserve">Emma Collins</t>
  </si>
  <si>
    <t xml:space="preserve">Sales Executive</t>
  </si>
  <si>
    <t xml:space="preserve">4463-07822211</t>
  </si>
  <si>
    <t xml:space="preserve">NX-011</t>
  </si>
  <si>
    <t xml:space="preserve">James Ward</t>
  </si>
  <si>
    <t xml:space="preserve">4470-07835790</t>
  </si>
  <si>
    <t xml:space="preserve">NX-012</t>
  </si>
  <si>
    <t xml:space="preserve">Mia Turner</t>
  </si>
  <si>
    <t xml:space="preserve">Marketing</t>
  </si>
  <si>
    <t xml:space="preserve">Marketing Manager</t>
  </si>
  <si>
    <t xml:space="preserve">4477-07849369</t>
  </si>
  <si>
    <t xml:space="preserve">NX-013</t>
  </si>
  <si>
    <t xml:space="preserve">Benjamin Hayes</t>
  </si>
  <si>
    <t xml:space="preserve">Digital Marketing Specialist</t>
  </si>
  <si>
    <t xml:space="preserve">4484-07862948</t>
  </si>
  <si>
    <t xml:space="preserve">NX-014</t>
  </si>
  <si>
    <t xml:space="preserve">Charlotte Price</t>
  </si>
  <si>
    <t xml:space="preserve">Senior Accountant</t>
  </si>
  <si>
    <t xml:space="preserve">4491-07876527</t>
  </si>
  <si>
    <t xml:space="preserve">NX-015</t>
  </si>
  <si>
    <t xml:space="preserve">Lucas Gray</t>
  </si>
  <si>
    <t xml:space="preserve">Accounts Assistant</t>
  </si>
  <si>
    <t xml:space="preserve">4498-07890106</t>
  </si>
  <si>
    <t xml:space="preserve">NX-016</t>
  </si>
  <si>
    <t xml:space="preserve">Amelia Russell</t>
  </si>
  <si>
    <t xml:space="preserve">HR Executive</t>
  </si>
  <si>
    <t xml:space="preserve">4505-07903685</t>
  </si>
  <si>
    <t xml:space="preserve">NX-017</t>
  </si>
  <si>
    <t xml:space="preserve">Henry Coleman</t>
  </si>
  <si>
    <t xml:space="preserve">Operations</t>
  </si>
  <si>
    <t xml:space="preserve">Operations Manager</t>
  </si>
  <si>
    <t xml:space="preserve">4512-07917264</t>
  </si>
  <si>
    <t xml:space="preserve">NX-018</t>
  </si>
  <si>
    <t xml:space="preserve">Harper Jenkins</t>
  </si>
  <si>
    <t xml:space="preserve">Administrative Officer</t>
  </si>
  <si>
    <t xml:space="preserve">4519-07930843</t>
  </si>
  <si>
    <t xml:space="preserve">NX-019</t>
  </si>
  <si>
    <t xml:space="preserve">Jack Stewart</t>
  </si>
  <si>
    <t xml:space="preserve">IT Support Specialist</t>
  </si>
  <si>
    <t xml:space="preserve">Contract</t>
  </si>
  <si>
    <t xml:space="preserve">4526-07944422</t>
  </si>
  <si>
    <t xml:space="preserve">NX-020</t>
  </si>
  <si>
    <t xml:space="preserve">Ella Morgan</t>
  </si>
  <si>
    <t xml:space="preserve">Content Writer</t>
  </si>
  <si>
    <t xml:space="preserve">4533-07958001</t>
  </si>
  <si>
    <t xml:space="preserve">TOTAL</t>
  </si>
  <si>
    <t xml:space="preserve">Payroll Cost by Department – September 2026</t>
  </si>
  <si>
    <t xml:space="preserve">Employees</t>
  </si>
  <si>
    <t xml:space="preserve">Total</t>
  </si>
  <si>
    <t xml:space="preserve">Payroll Assumptions &amp; Rates</t>
  </si>
  <si>
    <t xml:space="preserve">Blue cells are inputs; change them and the Payroll sheet recalculates. Fictional company data.</t>
  </si>
  <si>
    <t xml:space="preserve">Pay Period</t>
  </si>
  <si>
    <t xml:space="preserve">September 2026</t>
  </si>
  <si>
    <t xml:space="preserve">Pay Date</t>
  </si>
  <si>
    <t xml:space="preserve">30-Sep-2026</t>
  </si>
  <si>
    <t xml:space="preserve">HRA (% of Basic)</t>
  </si>
  <si>
    <t xml:space="preserve">Transport Allowance (monthly)</t>
  </si>
  <si>
    <t xml:space="preserve">Medical Allowance (monthly)</t>
  </si>
  <si>
    <t xml:space="preserve">Provident Fund – employee (% of Basic, Full-time only)</t>
  </si>
  <si>
    <t xml:space="preserve">Health Insurance Premium (monthly)</t>
  </si>
  <si>
    <t xml:space="preserve">Income Tax Slabs (rate applies to monthly gross, based on annual salary)</t>
  </si>
  <si>
    <t xml:space="preserve">Annual Salary From ($)</t>
  </si>
  <si>
    <t xml:space="preserve">Tax Rate</t>
  </si>
  <si>
    <t xml:space="preserve">Note: Slabs, allowances and bonus amounts are illustrative assumptions for test data, not real tax rules.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</si>
</sst>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.00;&quot;($&quot;#,##0.00\);\-"/>
    <numFmt numFmtId="167" formatCode="\$#,##0.0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EF3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3" min="10" style="0" width="11"/>
    <col collapsed="false" customWidth="true" hidden="false" outlineLevel="0" max="17" min="14" style="0" width="12"/>
    <col collapsed="false" customWidth="true" hidden="false" outlineLevel="0" max="19" min="18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5" t="n">
        <v>180000</v>
      </c>
      <c r="G5" s="4" t="s">
        <v>26</v>
      </c>
      <c r="H5" s="4" t="s">
        <v>27</v>
      </c>
      <c r="I5" s="6" t="n">
        <f aca="false">ROUND(F5/12,2)</f>
        <v>15000</v>
      </c>
      <c r="J5" s="6" t="n">
        <f aca="false">ROUND(I5*Assumptions!$B$6,2)</f>
        <v>6000</v>
      </c>
      <c r="K5" s="7" t="n">
        <f aca="false">Assumptions!$B$7</f>
        <v>150</v>
      </c>
      <c r="L5" s="7" t="n">
        <f aca="false">Assumptions!$B$8</f>
        <v>100</v>
      </c>
      <c r="M5" s="8" t="n">
        <v>0</v>
      </c>
      <c r="N5" s="6" t="n">
        <f aca="false">SUM(I5:M5)</f>
        <v>21250</v>
      </c>
      <c r="O5" s="6" t="n">
        <f aca="false">ROUND(N5*INDEX(Assumptions!$B$15:$B$19,MATCH(F5,Assumptions!$A$15:$A$19,1)),2)</f>
        <v>4250</v>
      </c>
      <c r="P5" s="6" t="n">
        <f aca="false">IF(E5="Full-time",ROUND(I5*Assumptions!$B$9,2),0)</f>
        <v>1200</v>
      </c>
      <c r="Q5" s="7" t="n">
        <f aca="false">Assumptions!$B$10</f>
        <v>75</v>
      </c>
      <c r="R5" s="6" t="n">
        <f aca="false">SUM(O5:Q5)</f>
        <v>5525</v>
      </c>
      <c r="S5" s="6" t="n">
        <f aca="false">N5-R5</f>
        <v>15725</v>
      </c>
    </row>
    <row r="6" customFormat="false" ht="15" hidden="false" customHeight="false" outlineLevel="0" collapsed="false">
      <c r="A6" s="9" t="s">
        <v>28</v>
      </c>
      <c r="B6" s="9" t="s">
        <v>29</v>
      </c>
      <c r="C6" s="9" t="s">
        <v>30</v>
      </c>
      <c r="D6" s="9" t="s">
        <v>31</v>
      </c>
      <c r="E6" s="9" t="s">
        <v>25</v>
      </c>
      <c r="F6" s="5" t="n">
        <v>150000</v>
      </c>
      <c r="G6" s="9" t="s">
        <v>32</v>
      </c>
      <c r="H6" s="9" t="s">
        <v>33</v>
      </c>
      <c r="I6" s="10" t="n">
        <f aca="false">ROUND(F6/12,2)</f>
        <v>12500</v>
      </c>
      <c r="J6" s="10" t="n">
        <f aca="false">ROUND(I6*Assumptions!$B$6,2)</f>
        <v>5000</v>
      </c>
      <c r="K6" s="11" t="n">
        <f aca="false">Assumptions!$B$7</f>
        <v>150</v>
      </c>
      <c r="L6" s="11" t="n">
        <f aca="false">Assumptions!$B$8</f>
        <v>100</v>
      </c>
      <c r="M6" s="8" t="n">
        <v>5000</v>
      </c>
      <c r="N6" s="10" t="n">
        <f aca="false">SUM(I6:M6)</f>
        <v>22750</v>
      </c>
      <c r="O6" s="10" t="n">
        <f aca="false">ROUND(N6*INDEX(Assumptions!$B$15:$B$19,MATCH(F6,Assumptions!$A$15:$A$19,1)),2)</f>
        <v>4550</v>
      </c>
      <c r="P6" s="10" t="n">
        <f aca="false">IF(E6="Full-time",ROUND(I6*Assumptions!$B$9,2),0)</f>
        <v>1000</v>
      </c>
      <c r="Q6" s="11" t="n">
        <f aca="false">Assumptions!$B$10</f>
        <v>75</v>
      </c>
      <c r="R6" s="10" t="n">
        <f aca="false">SUM(O6:Q6)</f>
        <v>5625</v>
      </c>
      <c r="S6" s="10" t="n">
        <f aca="false">N6-R6</f>
        <v>17125</v>
      </c>
    </row>
    <row r="7" customFormat="false" ht="15" hidden="false" customHeight="false" outlineLevel="0" collapsed="false">
      <c r="A7" s="4" t="s">
        <v>34</v>
      </c>
      <c r="B7" s="4" t="s">
        <v>35</v>
      </c>
      <c r="C7" s="4" t="s">
        <v>36</v>
      </c>
      <c r="D7" s="4" t="s">
        <v>37</v>
      </c>
      <c r="E7" s="4" t="s">
        <v>25</v>
      </c>
      <c r="F7" s="5" t="n">
        <v>155000</v>
      </c>
      <c r="G7" s="4" t="s">
        <v>38</v>
      </c>
      <c r="H7" s="4" t="s">
        <v>39</v>
      </c>
      <c r="I7" s="6" t="n">
        <f aca="false">ROUND(F7/12,2)</f>
        <v>12916.67</v>
      </c>
      <c r="J7" s="6" t="n">
        <f aca="false">ROUND(I7*Assumptions!$B$6,2)</f>
        <v>5166.67</v>
      </c>
      <c r="K7" s="7" t="n">
        <f aca="false">Assumptions!$B$7</f>
        <v>150</v>
      </c>
      <c r="L7" s="7" t="n">
        <f aca="false">Assumptions!$B$8</f>
        <v>100</v>
      </c>
      <c r="M7" s="8" t="n">
        <v>2500</v>
      </c>
      <c r="N7" s="6" t="n">
        <f aca="false">SUM(I7:M7)</f>
        <v>20833.34</v>
      </c>
      <c r="O7" s="6" t="n">
        <f aca="false">ROUND(N7*INDEX(Assumptions!$B$15:$B$19,MATCH(F7,Assumptions!$A$15:$A$19,1)),2)</f>
        <v>4166.67</v>
      </c>
      <c r="P7" s="6" t="n">
        <f aca="false">IF(E7="Full-time",ROUND(I7*Assumptions!$B$9,2),0)</f>
        <v>1033.33</v>
      </c>
      <c r="Q7" s="7" t="n">
        <f aca="false">Assumptions!$B$10</f>
        <v>75</v>
      </c>
      <c r="R7" s="6" t="n">
        <f aca="false">SUM(O7:Q7)</f>
        <v>5275</v>
      </c>
      <c r="S7" s="6" t="n">
        <f aca="false">N7-R7</f>
        <v>15558.34</v>
      </c>
    </row>
    <row r="8" customFormat="false" ht="15" hidden="false" customHeight="false" outlineLevel="0" collapsed="false">
      <c r="A8" s="9" t="s">
        <v>40</v>
      </c>
      <c r="B8" s="9" t="s">
        <v>41</v>
      </c>
      <c r="C8" s="9" t="s">
        <v>42</v>
      </c>
      <c r="D8" s="9" t="s">
        <v>43</v>
      </c>
      <c r="E8" s="9" t="s">
        <v>25</v>
      </c>
      <c r="F8" s="5" t="n">
        <v>88000</v>
      </c>
      <c r="G8" s="9" t="s">
        <v>44</v>
      </c>
      <c r="H8" s="9" t="s">
        <v>45</v>
      </c>
      <c r="I8" s="10" t="n">
        <f aca="false">ROUND(F8/12,2)</f>
        <v>7333.33</v>
      </c>
      <c r="J8" s="10" t="n">
        <f aca="false">ROUND(I8*Assumptions!$B$6,2)</f>
        <v>2933.33</v>
      </c>
      <c r="K8" s="11" t="n">
        <f aca="false">Assumptions!$B$7</f>
        <v>150</v>
      </c>
      <c r="L8" s="11" t="n">
        <f aca="false">Assumptions!$B$8</f>
        <v>100</v>
      </c>
      <c r="M8" s="8" t="n">
        <v>0</v>
      </c>
      <c r="N8" s="10" t="n">
        <f aca="false">SUM(I8:M8)</f>
        <v>10516.66</v>
      </c>
      <c r="O8" s="10" t="n">
        <f aca="false">ROUND(N8*INDEX(Assumptions!$B$15:$B$19,MATCH(F8,Assumptions!$A$15:$A$19,1)),2)</f>
        <v>841.33</v>
      </c>
      <c r="P8" s="10" t="n">
        <f aca="false">IF(E8="Full-time",ROUND(I8*Assumptions!$B$9,2),0)</f>
        <v>586.67</v>
      </c>
      <c r="Q8" s="11" t="n">
        <f aca="false">Assumptions!$B$10</f>
        <v>75</v>
      </c>
      <c r="R8" s="10" t="n">
        <f aca="false">SUM(O8:Q8)</f>
        <v>1503</v>
      </c>
      <c r="S8" s="10" t="n">
        <f aca="false">N8-R8</f>
        <v>9013.66</v>
      </c>
    </row>
    <row r="9" customFormat="false" ht="15" hidden="false" customHeight="false" outlineLevel="0" collapsed="false">
      <c r="A9" s="4" t="s">
        <v>46</v>
      </c>
      <c r="B9" s="4" t="s">
        <v>47</v>
      </c>
      <c r="C9" s="4" t="s">
        <v>36</v>
      </c>
      <c r="D9" s="4" t="s">
        <v>48</v>
      </c>
      <c r="E9" s="4" t="s">
        <v>25</v>
      </c>
      <c r="F9" s="5" t="n">
        <v>105000</v>
      </c>
      <c r="G9" s="4" t="s">
        <v>26</v>
      </c>
      <c r="H9" s="4" t="s">
        <v>49</v>
      </c>
      <c r="I9" s="6" t="n">
        <f aca="false">ROUND(F9/12,2)</f>
        <v>8750</v>
      </c>
      <c r="J9" s="6" t="n">
        <f aca="false">ROUND(I9*Assumptions!$B$6,2)</f>
        <v>3500</v>
      </c>
      <c r="K9" s="7" t="n">
        <f aca="false">Assumptions!$B$7</f>
        <v>150</v>
      </c>
      <c r="L9" s="7" t="n">
        <f aca="false">Assumptions!$B$8</f>
        <v>100</v>
      </c>
      <c r="M9" s="8" t="n">
        <v>1200</v>
      </c>
      <c r="N9" s="6" t="n">
        <f aca="false">SUM(I9:M9)</f>
        <v>13700</v>
      </c>
      <c r="O9" s="6" t="n">
        <f aca="false">ROUND(N9*INDEX(Assumptions!$B$15:$B$19,MATCH(F9,Assumptions!$A$15:$A$19,1)),2)</f>
        <v>1644</v>
      </c>
      <c r="P9" s="6" t="n">
        <f aca="false">IF(E9="Full-time",ROUND(I9*Assumptions!$B$9,2),0)</f>
        <v>700</v>
      </c>
      <c r="Q9" s="7" t="n">
        <f aca="false">Assumptions!$B$10</f>
        <v>75</v>
      </c>
      <c r="R9" s="6" t="n">
        <f aca="false">SUM(O9:Q9)</f>
        <v>2419</v>
      </c>
      <c r="S9" s="6" t="n">
        <f aca="false">N9-R9</f>
        <v>11281</v>
      </c>
    </row>
    <row r="10" customFormat="false" ht="15" hidden="false" customHeight="false" outlineLevel="0" collapsed="false">
      <c r="A10" s="9" t="s">
        <v>50</v>
      </c>
      <c r="B10" s="9" t="s">
        <v>51</v>
      </c>
      <c r="C10" s="9" t="s">
        <v>36</v>
      </c>
      <c r="D10" s="9" t="s">
        <v>52</v>
      </c>
      <c r="E10" s="9" t="s">
        <v>25</v>
      </c>
      <c r="F10" s="5" t="n">
        <v>82000</v>
      </c>
      <c r="G10" s="9" t="s">
        <v>32</v>
      </c>
      <c r="H10" s="9" t="s">
        <v>53</v>
      </c>
      <c r="I10" s="10" t="n">
        <f aca="false">ROUND(F10/12,2)</f>
        <v>6833.33</v>
      </c>
      <c r="J10" s="10" t="n">
        <f aca="false">ROUND(I10*Assumptions!$B$6,2)</f>
        <v>2733.33</v>
      </c>
      <c r="K10" s="11" t="n">
        <f aca="false">Assumptions!$B$7</f>
        <v>150</v>
      </c>
      <c r="L10" s="11" t="n">
        <f aca="false">Assumptions!$B$8</f>
        <v>100</v>
      </c>
      <c r="M10" s="8" t="n">
        <v>500</v>
      </c>
      <c r="N10" s="10" t="n">
        <f aca="false">SUM(I10:M10)</f>
        <v>10316.66</v>
      </c>
      <c r="O10" s="10" t="n">
        <f aca="false">ROUND(N10*INDEX(Assumptions!$B$15:$B$19,MATCH(F10,Assumptions!$A$15:$A$19,1)),2)</f>
        <v>825.33</v>
      </c>
      <c r="P10" s="10" t="n">
        <f aca="false">IF(E10="Full-time",ROUND(I10*Assumptions!$B$9,2),0)</f>
        <v>546.67</v>
      </c>
      <c r="Q10" s="11" t="n">
        <f aca="false">Assumptions!$B$10</f>
        <v>75</v>
      </c>
      <c r="R10" s="10" t="n">
        <f aca="false">SUM(O10:Q10)</f>
        <v>1447</v>
      </c>
      <c r="S10" s="10" t="n">
        <f aca="false">N10-R10</f>
        <v>8869.66</v>
      </c>
    </row>
    <row r="11" customFormat="false" ht="15" hidden="false" customHeight="false" outlineLevel="0" collapsed="false">
      <c r="A11" s="4" t="s">
        <v>54</v>
      </c>
      <c r="B11" s="4" t="s">
        <v>55</v>
      </c>
      <c r="C11" s="4" t="s">
        <v>36</v>
      </c>
      <c r="D11" s="4" t="s">
        <v>52</v>
      </c>
      <c r="E11" s="4" t="s">
        <v>25</v>
      </c>
      <c r="F11" s="5" t="n">
        <v>80000</v>
      </c>
      <c r="G11" s="4" t="s">
        <v>38</v>
      </c>
      <c r="H11" s="4" t="s">
        <v>56</v>
      </c>
      <c r="I11" s="6" t="n">
        <f aca="false">ROUND(F11/12,2)</f>
        <v>6666.67</v>
      </c>
      <c r="J11" s="6" t="n">
        <f aca="false">ROUND(I11*Assumptions!$B$6,2)</f>
        <v>2666.67</v>
      </c>
      <c r="K11" s="7" t="n">
        <f aca="false">Assumptions!$B$7</f>
        <v>150</v>
      </c>
      <c r="L11" s="7" t="n">
        <f aca="false">Assumptions!$B$8</f>
        <v>100</v>
      </c>
      <c r="M11" s="8" t="n">
        <v>0</v>
      </c>
      <c r="N11" s="6" t="n">
        <f aca="false">SUM(I11:M11)</f>
        <v>9583.34</v>
      </c>
      <c r="O11" s="6" t="n">
        <f aca="false">ROUND(N11*INDEX(Assumptions!$B$15:$B$19,MATCH(F11,Assumptions!$A$15:$A$19,1)),2)</f>
        <v>766.67</v>
      </c>
      <c r="P11" s="6" t="n">
        <f aca="false">IF(E11="Full-time",ROUND(I11*Assumptions!$B$9,2),0)</f>
        <v>533.33</v>
      </c>
      <c r="Q11" s="7" t="n">
        <f aca="false">Assumptions!$B$10</f>
        <v>75</v>
      </c>
      <c r="R11" s="6" t="n">
        <f aca="false">SUM(O11:Q11)</f>
        <v>1375</v>
      </c>
      <c r="S11" s="6" t="n">
        <f aca="false">N11-R11</f>
        <v>8208.34</v>
      </c>
    </row>
    <row r="12" customFormat="false" ht="15" hidden="false" customHeight="false" outlineLevel="0" collapsed="false">
      <c r="A12" s="9" t="s">
        <v>57</v>
      </c>
      <c r="B12" s="9" t="s">
        <v>58</v>
      </c>
      <c r="C12" s="9" t="s">
        <v>36</v>
      </c>
      <c r="D12" s="9" t="s">
        <v>59</v>
      </c>
      <c r="E12" s="9" t="s">
        <v>25</v>
      </c>
      <c r="F12" s="5" t="n">
        <v>68000</v>
      </c>
      <c r="G12" s="9" t="s">
        <v>44</v>
      </c>
      <c r="H12" s="9" t="s">
        <v>60</v>
      </c>
      <c r="I12" s="10" t="n">
        <f aca="false">ROUND(F12/12,2)</f>
        <v>5666.67</v>
      </c>
      <c r="J12" s="10" t="n">
        <f aca="false">ROUND(I12*Assumptions!$B$6,2)</f>
        <v>2266.67</v>
      </c>
      <c r="K12" s="11" t="n">
        <f aca="false">Assumptions!$B$7</f>
        <v>150</v>
      </c>
      <c r="L12" s="11" t="n">
        <f aca="false">Assumptions!$B$8</f>
        <v>100</v>
      </c>
      <c r="M12" s="8" t="n">
        <v>300</v>
      </c>
      <c r="N12" s="10" t="n">
        <f aca="false">SUM(I12:M12)</f>
        <v>8483.34</v>
      </c>
      <c r="O12" s="10" t="n">
        <f aca="false">ROUND(N12*INDEX(Assumptions!$B$15:$B$19,MATCH(F12,Assumptions!$A$15:$A$19,1)),2)</f>
        <v>678.67</v>
      </c>
      <c r="P12" s="10" t="n">
        <f aca="false">IF(E12="Full-time",ROUND(I12*Assumptions!$B$9,2),0)</f>
        <v>453.33</v>
      </c>
      <c r="Q12" s="11" t="n">
        <f aca="false">Assumptions!$B$10</f>
        <v>75</v>
      </c>
      <c r="R12" s="10" t="n">
        <f aca="false">SUM(O12:Q12)</f>
        <v>1207</v>
      </c>
      <c r="S12" s="10" t="n">
        <f aca="false">N12-R12</f>
        <v>7276.34</v>
      </c>
    </row>
    <row r="13" customFormat="false" ht="15" hidden="false" customHeight="false" outlineLevel="0" collapsed="false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25</v>
      </c>
      <c r="F13" s="5" t="n">
        <v>98000</v>
      </c>
      <c r="G13" s="4" t="s">
        <v>26</v>
      </c>
      <c r="H13" s="4" t="s">
        <v>65</v>
      </c>
      <c r="I13" s="6" t="n">
        <f aca="false">ROUND(F13/12,2)</f>
        <v>8166.67</v>
      </c>
      <c r="J13" s="6" t="n">
        <f aca="false">ROUND(I13*Assumptions!$B$6,2)</f>
        <v>3266.67</v>
      </c>
      <c r="K13" s="7" t="n">
        <f aca="false">Assumptions!$B$7</f>
        <v>150</v>
      </c>
      <c r="L13" s="7" t="n">
        <f aca="false">Assumptions!$B$8</f>
        <v>100</v>
      </c>
      <c r="M13" s="8" t="n">
        <v>1500</v>
      </c>
      <c r="N13" s="6" t="n">
        <f aca="false">SUM(I13:M13)</f>
        <v>13183.34</v>
      </c>
      <c r="O13" s="6" t="n">
        <f aca="false">ROUND(N13*INDEX(Assumptions!$B$15:$B$19,MATCH(F13,Assumptions!$A$15:$A$19,1)),2)</f>
        <v>1582</v>
      </c>
      <c r="P13" s="6" t="n">
        <f aca="false">IF(E13="Full-time",ROUND(I13*Assumptions!$B$9,2),0)</f>
        <v>653.33</v>
      </c>
      <c r="Q13" s="7" t="n">
        <f aca="false">Assumptions!$B$10</f>
        <v>75</v>
      </c>
      <c r="R13" s="6" t="n">
        <f aca="false">SUM(O13:Q13)</f>
        <v>2310.33</v>
      </c>
      <c r="S13" s="6" t="n">
        <f aca="false">N13-R13</f>
        <v>10873.01</v>
      </c>
    </row>
    <row r="14" customFormat="false" ht="15" hidden="false" customHeight="false" outlineLevel="0" collapsed="false">
      <c r="A14" s="9" t="s">
        <v>66</v>
      </c>
      <c r="B14" s="9" t="s">
        <v>67</v>
      </c>
      <c r="C14" s="9" t="s">
        <v>63</v>
      </c>
      <c r="D14" s="9" t="s">
        <v>68</v>
      </c>
      <c r="E14" s="9" t="s">
        <v>25</v>
      </c>
      <c r="F14" s="5" t="n">
        <v>64000</v>
      </c>
      <c r="G14" s="9" t="s">
        <v>32</v>
      </c>
      <c r="H14" s="9" t="s">
        <v>69</v>
      </c>
      <c r="I14" s="10" t="n">
        <f aca="false">ROUND(F14/12,2)</f>
        <v>5333.33</v>
      </c>
      <c r="J14" s="10" t="n">
        <f aca="false">ROUND(I14*Assumptions!$B$6,2)</f>
        <v>2133.33</v>
      </c>
      <c r="K14" s="11" t="n">
        <f aca="false">Assumptions!$B$7</f>
        <v>150</v>
      </c>
      <c r="L14" s="11" t="n">
        <f aca="false">Assumptions!$B$8</f>
        <v>100</v>
      </c>
      <c r="M14" s="8" t="n">
        <v>800</v>
      </c>
      <c r="N14" s="10" t="n">
        <f aca="false">SUM(I14:M14)</f>
        <v>8516.66</v>
      </c>
      <c r="O14" s="10" t="n">
        <f aca="false">ROUND(N14*INDEX(Assumptions!$B$15:$B$19,MATCH(F14,Assumptions!$A$15:$A$19,1)),2)</f>
        <v>681.33</v>
      </c>
      <c r="P14" s="10" t="n">
        <f aca="false">IF(E14="Full-time",ROUND(I14*Assumptions!$B$9,2),0)</f>
        <v>426.67</v>
      </c>
      <c r="Q14" s="11" t="n">
        <f aca="false">Assumptions!$B$10</f>
        <v>75</v>
      </c>
      <c r="R14" s="10" t="n">
        <f aca="false">SUM(O14:Q14)</f>
        <v>1183</v>
      </c>
      <c r="S14" s="10" t="n">
        <f aca="false">N14-R14</f>
        <v>7333.66</v>
      </c>
    </row>
    <row r="15" customFormat="false" ht="15" hidden="false" customHeight="false" outlineLevel="0" collapsed="false">
      <c r="A15" s="4" t="s">
        <v>70</v>
      </c>
      <c r="B15" s="4" t="s">
        <v>71</v>
      </c>
      <c r="C15" s="4" t="s">
        <v>63</v>
      </c>
      <c r="D15" s="4" t="s">
        <v>68</v>
      </c>
      <c r="E15" s="4" t="s">
        <v>25</v>
      </c>
      <c r="F15" s="5" t="n">
        <v>62000</v>
      </c>
      <c r="G15" s="4" t="s">
        <v>38</v>
      </c>
      <c r="H15" s="4" t="s">
        <v>72</v>
      </c>
      <c r="I15" s="6" t="n">
        <f aca="false">ROUND(F15/12,2)</f>
        <v>5166.67</v>
      </c>
      <c r="J15" s="6" t="n">
        <f aca="false">ROUND(I15*Assumptions!$B$6,2)</f>
        <v>2066.67</v>
      </c>
      <c r="K15" s="7" t="n">
        <f aca="false">Assumptions!$B$7</f>
        <v>150</v>
      </c>
      <c r="L15" s="7" t="n">
        <f aca="false">Assumptions!$B$8</f>
        <v>100</v>
      </c>
      <c r="M15" s="8" t="n">
        <v>0</v>
      </c>
      <c r="N15" s="6" t="n">
        <f aca="false">SUM(I15:M15)</f>
        <v>7483.34</v>
      </c>
      <c r="O15" s="6" t="n">
        <f aca="false">ROUND(N15*INDEX(Assumptions!$B$15:$B$19,MATCH(F15,Assumptions!$A$15:$A$19,1)),2)</f>
        <v>598.67</v>
      </c>
      <c r="P15" s="6" t="n">
        <f aca="false">IF(E15="Full-time",ROUND(I15*Assumptions!$B$9,2),0)</f>
        <v>413.33</v>
      </c>
      <c r="Q15" s="7" t="n">
        <f aca="false">Assumptions!$B$10</f>
        <v>75</v>
      </c>
      <c r="R15" s="6" t="n">
        <f aca="false">SUM(O15:Q15)</f>
        <v>1087</v>
      </c>
      <c r="S15" s="6" t="n">
        <f aca="false">N15-R15</f>
        <v>6396.34</v>
      </c>
    </row>
    <row r="16" customFormat="false" ht="15" hidden="false" customHeight="false" outlineLevel="0" collapsed="false">
      <c r="A16" s="9" t="s">
        <v>73</v>
      </c>
      <c r="B16" s="9" t="s">
        <v>74</v>
      </c>
      <c r="C16" s="9" t="s">
        <v>75</v>
      </c>
      <c r="D16" s="9" t="s">
        <v>76</v>
      </c>
      <c r="E16" s="9" t="s">
        <v>25</v>
      </c>
      <c r="F16" s="5" t="n">
        <v>90000</v>
      </c>
      <c r="G16" s="9" t="s">
        <v>44</v>
      </c>
      <c r="H16" s="9" t="s">
        <v>77</v>
      </c>
      <c r="I16" s="10" t="n">
        <f aca="false">ROUND(F16/12,2)</f>
        <v>7500</v>
      </c>
      <c r="J16" s="10" t="n">
        <f aca="false">ROUND(I16*Assumptions!$B$6,2)</f>
        <v>3000</v>
      </c>
      <c r="K16" s="11" t="n">
        <f aca="false">Assumptions!$B$7</f>
        <v>150</v>
      </c>
      <c r="L16" s="11" t="n">
        <f aca="false">Assumptions!$B$8</f>
        <v>100</v>
      </c>
      <c r="M16" s="8" t="n">
        <v>1000</v>
      </c>
      <c r="N16" s="10" t="n">
        <f aca="false">SUM(I16:M16)</f>
        <v>11750</v>
      </c>
      <c r="O16" s="10" t="n">
        <f aca="false">ROUND(N16*INDEX(Assumptions!$B$15:$B$19,MATCH(F16,Assumptions!$A$15:$A$19,1)),2)</f>
        <v>1410</v>
      </c>
      <c r="P16" s="10" t="n">
        <f aca="false">IF(E16="Full-time",ROUND(I16*Assumptions!$B$9,2),0)</f>
        <v>600</v>
      </c>
      <c r="Q16" s="11" t="n">
        <f aca="false">Assumptions!$B$10</f>
        <v>75</v>
      </c>
      <c r="R16" s="10" t="n">
        <f aca="false">SUM(O16:Q16)</f>
        <v>2085</v>
      </c>
      <c r="S16" s="10" t="n">
        <f aca="false">N16-R16</f>
        <v>9665</v>
      </c>
    </row>
    <row r="17" customFormat="false" ht="15" hidden="false" customHeight="false" outlineLevel="0" collapsed="false">
      <c r="A17" s="4" t="s">
        <v>78</v>
      </c>
      <c r="B17" s="4" t="s">
        <v>79</v>
      </c>
      <c r="C17" s="4" t="s">
        <v>75</v>
      </c>
      <c r="D17" s="4" t="s">
        <v>80</v>
      </c>
      <c r="E17" s="4" t="s">
        <v>25</v>
      </c>
      <c r="F17" s="5" t="n">
        <v>58000</v>
      </c>
      <c r="G17" s="4" t="s">
        <v>26</v>
      </c>
      <c r="H17" s="4" t="s">
        <v>81</v>
      </c>
      <c r="I17" s="6" t="n">
        <f aca="false">ROUND(F17/12,2)</f>
        <v>4833.33</v>
      </c>
      <c r="J17" s="6" t="n">
        <f aca="false">ROUND(I17*Assumptions!$B$6,2)</f>
        <v>1933.33</v>
      </c>
      <c r="K17" s="7" t="n">
        <f aca="false">Assumptions!$B$7</f>
        <v>150</v>
      </c>
      <c r="L17" s="7" t="n">
        <f aca="false">Assumptions!$B$8</f>
        <v>100</v>
      </c>
      <c r="M17" s="8" t="n">
        <v>400</v>
      </c>
      <c r="N17" s="6" t="n">
        <f aca="false">SUM(I17:M17)</f>
        <v>7416.66</v>
      </c>
      <c r="O17" s="6" t="n">
        <f aca="false">ROUND(N17*INDEX(Assumptions!$B$15:$B$19,MATCH(F17,Assumptions!$A$15:$A$19,1)),2)</f>
        <v>370.83</v>
      </c>
      <c r="P17" s="6" t="n">
        <f aca="false">IF(E17="Full-time",ROUND(I17*Assumptions!$B$9,2),0)</f>
        <v>386.67</v>
      </c>
      <c r="Q17" s="7" t="n">
        <f aca="false">Assumptions!$B$10</f>
        <v>75</v>
      </c>
      <c r="R17" s="6" t="n">
        <f aca="false">SUM(O17:Q17)</f>
        <v>832.5</v>
      </c>
      <c r="S17" s="6" t="n">
        <f aca="false">N17-R17</f>
        <v>6584.16</v>
      </c>
    </row>
    <row r="18" customFormat="false" ht="15" hidden="false" customHeight="false" outlineLevel="0" collapsed="false">
      <c r="A18" s="9" t="s">
        <v>82</v>
      </c>
      <c r="B18" s="9" t="s">
        <v>83</v>
      </c>
      <c r="C18" s="9" t="s">
        <v>30</v>
      </c>
      <c r="D18" s="9" t="s">
        <v>84</v>
      </c>
      <c r="E18" s="9" t="s">
        <v>25</v>
      </c>
      <c r="F18" s="5" t="n">
        <v>76000</v>
      </c>
      <c r="G18" s="9" t="s">
        <v>32</v>
      </c>
      <c r="H18" s="9" t="s">
        <v>85</v>
      </c>
      <c r="I18" s="10" t="n">
        <f aca="false">ROUND(F18/12,2)</f>
        <v>6333.33</v>
      </c>
      <c r="J18" s="10" t="n">
        <f aca="false">ROUND(I18*Assumptions!$B$6,2)</f>
        <v>2533.33</v>
      </c>
      <c r="K18" s="11" t="n">
        <f aca="false">Assumptions!$B$7</f>
        <v>150</v>
      </c>
      <c r="L18" s="11" t="n">
        <f aca="false">Assumptions!$B$8</f>
        <v>100</v>
      </c>
      <c r="M18" s="8" t="n">
        <v>600</v>
      </c>
      <c r="N18" s="10" t="n">
        <f aca="false">SUM(I18:M18)</f>
        <v>9716.66</v>
      </c>
      <c r="O18" s="10" t="n">
        <f aca="false">ROUND(N18*INDEX(Assumptions!$B$15:$B$19,MATCH(F18,Assumptions!$A$15:$A$19,1)),2)</f>
        <v>777.33</v>
      </c>
      <c r="P18" s="10" t="n">
        <f aca="false">IF(E18="Full-time",ROUND(I18*Assumptions!$B$9,2),0)</f>
        <v>506.67</v>
      </c>
      <c r="Q18" s="11" t="n">
        <f aca="false">Assumptions!$B$10</f>
        <v>75</v>
      </c>
      <c r="R18" s="10" t="n">
        <f aca="false">SUM(O18:Q18)</f>
        <v>1359</v>
      </c>
      <c r="S18" s="10" t="n">
        <f aca="false">N18-R18</f>
        <v>8357.66</v>
      </c>
    </row>
    <row r="19" customFormat="false" ht="15" hidden="false" customHeight="false" outlineLevel="0" collapsed="false">
      <c r="A19" s="4" t="s">
        <v>86</v>
      </c>
      <c r="B19" s="4" t="s">
        <v>87</v>
      </c>
      <c r="C19" s="4" t="s">
        <v>30</v>
      </c>
      <c r="D19" s="4" t="s">
        <v>88</v>
      </c>
      <c r="E19" s="4" t="s">
        <v>25</v>
      </c>
      <c r="F19" s="5" t="n">
        <v>48000</v>
      </c>
      <c r="G19" s="4" t="s">
        <v>38</v>
      </c>
      <c r="H19" s="4" t="s">
        <v>89</v>
      </c>
      <c r="I19" s="6" t="n">
        <f aca="false">ROUND(F19/12,2)</f>
        <v>4000</v>
      </c>
      <c r="J19" s="6" t="n">
        <f aca="false">ROUND(I19*Assumptions!$B$6,2)</f>
        <v>1600</v>
      </c>
      <c r="K19" s="7" t="n">
        <f aca="false">Assumptions!$B$7</f>
        <v>150</v>
      </c>
      <c r="L19" s="7" t="n">
        <f aca="false">Assumptions!$B$8</f>
        <v>100</v>
      </c>
      <c r="M19" s="8" t="n">
        <v>0</v>
      </c>
      <c r="N19" s="6" t="n">
        <f aca="false">SUM(I19:M19)</f>
        <v>5850</v>
      </c>
      <c r="O19" s="6" t="n">
        <f aca="false">ROUND(N19*INDEX(Assumptions!$B$15:$B$19,MATCH(F19,Assumptions!$A$15:$A$19,1)),2)</f>
        <v>292.5</v>
      </c>
      <c r="P19" s="6" t="n">
        <f aca="false">IF(E19="Full-time",ROUND(I19*Assumptions!$B$9,2),0)</f>
        <v>320</v>
      </c>
      <c r="Q19" s="7" t="n">
        <f aca="false">Assumptions!$B$10</f>
        <v>75</v>
      </c>
      <c r="R19" s="6" t="n">
        <f aca="false">SUM(O19:Q19)</f>
        <v>687.5</v>
      </c>
      <c r="S19" s="6" t="n">
        <f aca="false">N19-R19</f>
        <v>5162.5</v>
      </c>
    </row>
    <row r="20" customFormat="false" ht="15" hidden="false" customHeight="false" outlineLevel="0" collapsed="false">
      <c r="A20" s="9" t="s">
        <v>90</v>
      </c>
      <c r="B20" s="9" t="s">
        <v>91</v>
      </c>
      <c r="C20" s="9" t="s">
        <v>42</v>
      </c>
      <c r="D20" s="9" t="s">
        <v>92</v>
      </c>
      <c r="E20" s="9" t="s">
        <v>25</v>
      </c>
      <c r="F20" s="5" t="n">
        <v>56000</v>
      </c>
      <c r="G20" s="9" t="s">
        <v>44</v>
      </c>
      <c r="H20" s="9" t="s">
        <v>93</v>
      </c>
      <c r="I20" s="10" t="n">
        <f aca="false">ROUND(F20/12,2)</f>
        <v>4666.67</v>
      </c>
      <c r="J20" s="10" t="n">
        <f aca="false">ROUND(I20*Assumptions!$B$6,2)</f>
        <v>1866.67</v>
      </c>
      <c r="K20" s="11" t="n">
        <f aca="false">Assumptions!$B$7</f>
        <v>150</v>
      </c>
      <c r="L20" s="11" t="n">
        <f aca="false">Assumptions!$B$8</f>
        <v>100</v>
      </c>
      <c r="M20" s="8" t="n">
        <v>250</v>
      </c>
      <c r="N20" s="10" t="n">
        <f aca="false">SUM(I20:M20)</f>
        <v>7033.34</v>
      </c>
      <c r="O20" s="10" t="n">
        <f aca="false">ROUND(N20*INDEX(Assumptions!$B$15:$B$19,MATCH(F20,Assumptions!$A$15:$A$19,1)),2)</f>
        <v>351.67</v>
      </c>
      <c r="P20" s="10" t="n">
        <f aca="false">IF(E20="Full-time",ROUND(I20*Assumptions!$B$9,2),0)</f>
        <v>373.33</v>
      </c>
      <c r="Q20" s="11" t="n">
        <f aca="false">Assumptions!$B$10</f>
        <v>75</v>
      </c>
      <c r="R20" s="10" t="n">
        <f aca="false">SUM(O20:Q20)</f>
        <v>800</v>
      </c>
      <c r="S20" s="10" t="n">
        <f aca="false">N20-R20</f>
        <v>6233.34</v>
      </c>
    </row>
    <row r="21" customFormat="false" ht="15" hidden="false" customHeight="false" outlineLevel="0" collapsed="false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25</v>
      </c>
      <c r="F21" s="5" t="n">
        <v>92000</v>
      </c>
      <c r="G21" s="4" t="s">
        <v>26</v>
      </c>
      <c r="H21" s="4" t="s">
        <v>98</v>
      </c>
      <c r="I21" s="6" t="n">
        <f aca="false">ROUND(F21/12,2)</f>
        <v>7666.67</v>
      </c>
      <c r="J21" s="6" t="n">
        <f aca="false">ROUND(I21*Assumptions!$B$6,2)</f>
        <v>3066.67</v>
      </c>
      <c r="K21" s="7" t="n">
        <f aca="false">Assumptions!$B$7</f>
        <v>150</v>
      </c>
      <c r="L21" s="7" t="n">
        <f aca="false">Assumptions!$B$8</f>
        <v>100</v>
      </c>
      <c r="M21" s="8" t="n">
        <v>700</v>
      </c>
      <c r="N21" s="6" t="n">
        <f aca="false">SUM(I21:M21)</f>
        <v>11683.34</v>
      </c>
      <c r="O21" s="6" t="n">
        <f aca="false">ROUND(N21*INDEX(Assumptions!$B$15:$B$19,MATCH(F21,Assumptions!$A$15:$A$19,1)),2)</f>
        <v>1402</v>
      </c>
      <c r="P21" s="6" t="n">
        <f aca="false">IF(E21="Full-time",ROUND(I21*Assumptions!$B$9,2),0)</f>
        <v>613.33</v>
      </c>
      <c r="Q21" s="7" t="n">
        <f aca="false">Assumptions!$B$10</f>
        <v>75</v>
      </c>
      <c r="R21" s="6" t="n">
        <f aca="false">SUM(O21:Q21)</f>
        <v>2090.33</v>
      </c>
      <c r="S21" s="6" t="n">
        <f aca="false">N21-R21</f>
        <v>9593.01</v>
      </c>
    </row>
    <row r="22" customFormat="false" ht="15" hidden="false" customHeight="false" outlineLevel="0" collapsed="false">
      <c r="A22" s="9" t="s">
        <v>99</v>
      </c>
      <c r="B22" s="9" t="s">
        <v>100</v>
      </c>
      <c r="C22" s="9" t="s">
        <v>96</v>
      </c>
      <c r="D22" s="9" t="s">
        <v>101</v>
      </c>
      <c r="E22" s="9" t="s">
        <v>25</v>
      </c>
      <c r="F22" s="5" t="n">
        <v>46000</v>
      </c>
      <c r="G22" s="9" t="s">
        <v>32</v>
      </c>
      <c r="H22" s="9" t="s">
        <v>102</v>
      </c>
      <c r="I22" s="10" t="n">
        <f aca="false">ROUND(F22/12,2)</f>
        <v>3833.33</v>
      </c>
      <c r="J22" s="10" t="n">
        <f aca="false">ROUND(I22*Assumptions!$B$6,2)</f>
        <v>1533.33</v>
      </c>
      <c r="K22" s="11" t="n">
        <f aca="false">Assumptions!$B$7</f>
        <v>150</v>
      </c>
      <c r="L22" s="11" t="n">
        <f aca="false">Assumptions!$B$8</f>
        <v>100</v>
      </c>
      <c r="M22" s="8" t="n">
        <v>0</v>
      </c>
      <c r="N22" s="10" t="n">
        <f aca="false">SUM(I22:M22)</f>
        <v>5616.66</v>
      </c>
      <c r="O22" s="10" t="n">
        <f aca="false">ROUND(N22*INDEX(Assumptions!$B$15:$B$19,MATCH(F22,Assumptions!$A$15:$A$19,1)),2)</f>
        <v>280.83</v>
      </c>
      <c r="P22" s="10" t="n">
        <f aca="false">IF(E22="Full-time",ROUND(I22*Assumptions!$B$9,2),0)</f>
        <v>306.67</v>
      </c>
      <c r="Q22" s="11" t="n">
        <f aca="false">Assumptions!$B$10</f>
        <v>75</v>
      </c>
      <c r="R22" s="10" t="n">
        <f aca="false">SUM(O22:Q22)</f>
        <v>662.5</v>
      </c>
      <c r="S22" s="10" t="n">
        <f aca="false">N22-R22</f>
        <v>4954.16</v>
      </c>
    </row>
    <row r="23" customFormat="false" ht="15" hidden="false" customHeight="false" outlineLevel="0" collapsed="false">
      <c r="A23" s="4" t="s">
        <v>103</v>
      </c>
      <c r="B23" s="4" t="s">
        <v>104</v>
      </c>
      <c r="C23" s="4" t="s">
        <v>36</v>
      </c>
      <c r="D23" s="4" t="s">
        <v>105</v>
      </c>
      <c r="E23" s="4" t="s">
        <v>106</v>
      </c>
      <c r="F23" s="5" t="n">
        <v>52000</v>
      </c>
      <c r="G23" s="4" t="s">
        <v>38</v>
      </c>
      <c r="H23" s="4" t="s">
        <v>107</v>
      </c>
      <c r="I23" s="6" t="n">
        <f aca="false">ROUND(F23/12,2)</f>
        <v>4333.33</v>
      </c>
      <c r="J23" s="6" t="n">
        <f aca="false">ROUND(I23*Assumptions!$B$6,2)</f>
        <v>1733.33</v>
      </c>
      <c r="K23" s="7" t="n">
        <f aca="false">Assumptions!$B$7</f>
        <v>150</v>
      </c>
      <c r="L23" s="7" t="n">
        <f aca="false">Assumptions!$B$8</f>
        <v>100</v>
      </c>
      <c r="M23" s="8" t="n">
        <v>0</v>
      </c>
      <c r="N23" s="6" t="n">
        <f aca="false">SUM(I23:M23)</f>
        <v>6316.66</v>
      </c>
      <c r="O23" s="6" t="n">
        <f aca="false">ROUND(N23*INDEX(Assumptions!$B$15:$B$19,MATCH(F23,Assumptions!$A$15:$A$19,1)),2)</f>
        <v>315.83</v>
      </c>
      <c r="P23" s="6" t="n">
        <f aca="false">IF(E23="Full-time",ROUND(I23*Assumptions!$B$9,2),0)</f>
        <v>0</v>
      </c>
      <c r="Q23" s="7" t="n">
        <f aca="false">Assumptions!$B$10</f>
        <v>75</v>
      </c>
      <c r="R23" s="6" t="n">
        <f aca="false">SUM(O23:Q23)</f>
        <v>390.83</v>
      </c>
      <c r="S23" s="6" t="n">
        <f aca="false">N23-R23</f>
        <v>5925.83</v>
      </c>
    </row>
    <row r="24" customFormat="false" ht="15" hidden="false" customHeight="false" outlineLevel="0" collapsed="false">
      <c r="A24" s="9" t="s">
        <v>108</v>
      </c>
      <c r="B24" s="9" t="s">
        <v>109</v>
      </c>
      <c r="C24" s="9" t="s">
        <v>75</v>
      </c>
      <c r="D24" s="9" t="s">
        <v>110</v>
      </c>
      <c r="E24" s="9" t="s">
        <v>106</v>
      </c>
      <c r="F24" s="5" t="n">
        <v>45000</v>
      </c>
      <c r="G24" s="9" t="s">
        <v>44</v>
      </c>
      <c r="H24" s="9" t="s">
        <v>111</v>
      </c>
      <c r="I24" s="10" t="n">
        <f aca="false">ROUND(F24/12,2)</f>
        <v>3750</v>
      </c>
      <c r="J24" s="10" t="n">
        <f aca="false">ROUND(I24*Assumptions!$B$6,2)</f>
        <v>1500</v>
      </c>
      <c r="K24" s="11" t="n">
        <f aca="false">Assumptions!$B$7</f>
        <v>150</v>
      </c>
      <c r="L24" s="11" t="n">
        <f aca="false">Assumptions!$B$8</f>
        <v>100</v>
      </c>
      <c r="M24" s="8" t="n">
        <v>0</v>
      </c>
      <c r="N24" s="10" t="n">
        <f aca="false">SUM(I24:M24)</f>
        <v>5500</v>
      </c>
      <c r="O24" s="10" t="n">
        <f aca="false">ROUND(N24*INDEX(Assumptions!$B$15:$B$19,MATCH(F24,Assumptions!$A$15:$A$19,1)),2)</f>
        <v>275</v>
      </c>
      <c r="P24" s="10" t="n">
        <f aca="false">IF(E24="Full-time",ROUND(I24*Assumptions!$B$9,2),0)</f>
        <v>0</v>
      </c>
      <c r="Q24" s="11" t="n">
        <f aca="false">Assumptions!$B$10</f>
        <v>75</v>
      </c>
      <c r="R24" s="10" t="n">
        <f aca="false">SUM(O24:Q24)</f>
        <v>350</v>
      </c>
      <c r="S24" s="10" t="n">
        <f aca="false">N24-R24</f>
        <v>5150</v>
      </c>
    </row>
    <row r="25" customFormat="false" ht="15" hidden="false" customHeight="false" outlineLevel="0" collapsed="false">
      <c r="A25" s="12" t="s">
        <v>112</v>
      </c>
      <c r="B25" s="12"/>
      <c r="C25" s="12"/>
      <c r="D25" s="12"/>
      <c r="E25" s="12"/>
      <c r="F25" s="13" t="n">
        <f aca="false">SUM(F5:F24)</f>
        <v>1695000</v>
      </c>
      <c r="G25" s="12"/>
      <c r="H25" s="12"/>
      <c r="I25" s="13" t="n">
        <f aca="false">SUM(I5:I24)</f>
        <v>141250</v>
      </c>
      <c r="J25" s="13" t="n">
        <f aca="false">SUM(J5:J24)</f>
        <v>56500</v>
      </c>
      <c r="K25" s="13" t="n">
        <f aca="false">SUM(K5:K24)</f>
        <v>3000</v>
      </c>
      <c r="L25" s="13" t="n">
        <f aca="false">SUM(L5:L24)</f>
        <v>2000</v>
      </c>
      <c r="M25" s="13" t="n">
        <f aca="false">SUM(M5:M24)</f>
        <v>14750</v>
      </c>
      <c r="N25" s="13" t="n">
        <f aca="false">SUM(N5:N24)</f>
        <v>217500</v>
      </c>
      <c r="O25" s="13" t="n">
        <f aca="false">SUM(O5:O24)</f>
        <v>26060.66</v>
      </c>
      <c r="P25" s="13" t="n">
        <f aca="false">SUM(P5:P24)</f>
        <v>10653.33</v>
      </c>
      <c r="Q25" s="13" t="n">
        <f aca="false">SUM(Q5:Q24)</f>
        <v>1500</v>
      </c>
      <c r="R25" s="13" t="n">
        <f aca="false">SUM(R5:R24)</f>
        <v>38213.99</v>
      </c>
      <c r="S25" s="13" t="n">
        <f aca="false">SUM(S5:S24)</f>
        <v>179286.01</v>
      </c>
    </row>
  </sheetData>
  <autoFilter ref="A4:S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14" t="s">
        <v>4</v>
      </c>
      <c r="B3" s="14" t="s">
        <v>114</v>
      </c>
      <c r="C3" s="14" t="s">
        <v>15</v>
      </c>
      <c r="D3" s="14" t="s">
        <v>19</v>
      </c>
      <c r="E3" s="14" t="s">
        <v>20</v>
      </c>
    </row>
    <row r="4" customFormat="false" ht="15" hidden="false" customHeight="false" outlineLevel="0" collapsed="false">
      <c r="A4" s="15" t="s">
        <v>23</v>
      </c>
      <c r="B4" s="15" t="n">
        <f aca="false">COUNTIF('Payroll Sep 2026'!$C$5:$C$24,A4)</f>
        <v>1</v>
      </c>
      <c r="C4" s="16" t="n">
        <f aca="false">SUMIF('Payroll Sep 2026'!$C$5:$C$24,$A4,'Payroll Sep 2026'!$N$5:$N$24)</f>
        <v>21250</v>
      </c>
      <c r="D4" s="16" t="n">
        <f aca="false">SUMIF('Payroll Sep 2026'!$C$5:$C$24,$A4,'Payroll Sep 2026'!$R$5:$R$24)</f>
        <v>5525</v>
      </c>
      <c r="E4" s="16" t="n">
        <f aca="false">SUMIF('Payroll Sep 2026'!$C$5:$C$24,$A4,'Payroll Sep 2026'!$S$5:$S$24)</f>
        <v>15725</v>
      </c>
    </row>
    <row r="5" customFormat="false" ht="15" hidden="false" customHeight="false" outlineLevel="0" collapsed="false">
      <c r="A5" s="15" t="s">
        <v>30</v>
      </c>
      <c r="B5" s="15" t="n">
        <f aca="false">COUNTIF('Payroll Sep 2026'!$C$5:$C$24,A5)</f>
        <v>3</v>
      </c>
      <c r="C5" s="16" t="n">
        <f aca="false">SUMIF('Payroll Sep 2026'!$C$5:$C$24,$A5,'Payroll Sep 2026'!$N$5:$N$24)</f>
        <v>38316.66</v>
      </c>
      <c r="D5" s="16" t="n">
        <f aca="false">SUMIF('Payroll Sep 2026'!$C$5:$C$24,$A5,'Payroll Sep 2026'!$R$5:$R$24)</f>
        <v>7671.5</v>
      </c>
      <c r="E5" s="16" t="n">
        <f aca="false">SUMIF('Payroll Sep 2026'!$C$5:$C$24,$A5,'Payroll Sep 2026'!$S$5:$S$24)</f>
        <v>30645.16</v>
      </c>
    </row>
    <row r="6" customFormat="false" ht="15" hidden="false" customHeight="false" outlineLevel="0" collapsed="false">
      <c r="A6" s="15" t="s">
        <v>42</v>
      </c>
      <c r="B6" s="15" t="n">
        <f aca="false">COUNTIF('Payroll Sep 2026'!$C$5:$C$24,A6)</f>
        <v>2</v>
      </c>
      <c r="C6" s="16" t="n">
        <f aca="false">SUMIF('Payroll Sep 2026'!$C$5:$C$24,$A6,'Payroll Sep 2026'!$N$5:$N$24)</f>
        <v>17550</v>
      </c>
      <c r="D6" s="16" t="n">
        <f aca="false">SUMIF('Payroll Sep 2026'!$C$5:$C$24,$A6,'Payroll Sep 2026'!$R$5:$R$24)</f>
        <v>2303</v>
      </c>
      <c r="E6" s="16" t="n">
        <f aca="false">SUMIF('Payroll Sep 2026'!$C$5:$C$24,$A6,'Payroll Sep 2026'!$S$5:$S$24)</f>
        <v>15247</v>
      </c>
    </row>
    <row r="7" customFormat="false" ht="15" hidden="false" customHeight="false" outlineLevel="0" collapsed="false">
      <c r="A7" s="15" t="s">
        <v>75</v>
      </c>
      <c r="B7" s="15" t="n">
        <f aca="false">COUNTIF('Payroll Sep 2026'!$C$5:$C$24,A7)</f>
        <v>3</v>
      </c>
      <c r="C7" s="16" t="n">
        <f aca="false">SUMIF('Payroll Sep 2026'!$C$5:$C$24,$A7,'Payroll Sep 2026'!$N$5:$N$24)</f>
        <v>24666.66</v>
      </c>
      <c r="D7" s="16" t="n">
        <f aca="false">SUMIF('Payroll Sep 2026'!$C$5:$C$24,$A7,'Payroll Sep 2026'!$R$5:$R$24)</f>
        <v>3267.5</v>
      </c>
      <c r="E7" s="16" t="n">
        <f aca="false">SUMIF('Payroll Sep 2026'!$C$5:$C$24,$A7,'Payroll Sep 2026'!$S$5:$S$24)</f>
        <v>21399.16</v>
      </c>
    </row>
    <row r="8" customFormat="false" ht="15" hidden="false" customHeight="false" outlineLevel="0" collapsed="false">
      <c r="A8" s="15" t="s">
        <v>96</v>
      </c>
      <c r="B8" s="15" t="n">
        <f aca="false">COUNTIF('Payroll Sep 2026'!$C$5:$C$24,A8)</f>
        <v>2</v>
      </c>
      <c r="C8" s="16" t="n">
        <f aca="false">SUMIF('Payroll Sep 2026'!$C$5:$C$24,$A8,'Payroll Sep 2026'!$N$5:$N$24)</f>
        <v>17300</v>
      </c>
      <c r="D8" s="16" t="n">
        <f aca="false">SUMIF('Payroll Sep 2026'!$C$5:$C$24,$A8,'Payroll Sep 2026'!$R$5:$R$24)</f>
        <v>2752.83</v>
      </c>
      <c r="E8" s="16" t="n">
        <f aca="false">SUMIF('Payroll Sep 2026'!$C$5:$C$24,$A8,'Payroll Sep 2026'!$S$5:$S$24)</f>
        <v>14547.17</v>
      </c>
    </row>
    <row r="9" customFormat="false" ht="15" hidden="false" customHeight="false" outlineLevel="0" collapsed="false">
      <c r="A9" s="15" t="s">
        <v>63</v>
      </c>
      <c r="B9" s="15" t="n">
        <f aca="false">COUNTIF('Payroll Sep 2026'!$C$5:$C$24,A9)</f>
        <v>3</v>
      </c>
      <c r="C9" s="16" t="n">
        <f aca="false">SUMIF('Payroll Sep 2026'!$C$5:$C$24,$A9,'Payroll Sep 2026'!$N$5:$N$24)</f>
        <v>29183.34</v>
      </c>
      <c r="D9" s="16" t="n">
        <f aca="false">SUMIF('Payroll Sep 2026'!$C$5:$C$24,$A9,'Payroll Sep 2026'!$R$5:$R$24)</f>
        <v>4580.33</v>
      </c>
      <c r="E9" s="16" t="n">
        <f aca="false">SUMIF('Payroll Sep 2026'!$C$5:$C$24,$A9,'Payroll Sep 2026'!$S$5:$S$24)</f>
        <v>24603.01</v>
      </c>
    </row>
    <row r="10" customFormat="false" ht="15" hidden="false" customHeight="false" outlineLevel="0" collapsed="false">
      <c r="A10" s="15" t="s">
        <v>36</v>
      </c>
      <c r="B10" s="15" t="n">
        <f aca="false">COUNTIF('Payroll Sep 2026'!$C$5:$C$24,A10)</f>
        <v>6</v>
      </c>
      <c r="C10" s="16" t="n">
        <f aca="false">SUMIF('Payroll Sep 2026'!$C$5:$C$24,$A10,'Payroll Sep 2026'!$N$5:$N$24)</f>
        <v>69233.34</v>
      </c>
      <c r="D10" s="16" t="n">
        <f aca="false">SUMIF('Payroll Sep 2026'!$C$5:$C$24,$A10,'Payroll Sep 2026'!$R$5:$R$24)</f>
        <v>12113.83</v>
      </c>
      <c r="E10" s="16" t="n">
        <f aca="false">SUMIF('Payroll Sep 2026'!$C$5:$C$24,$A10,'Payroll Sep 2026'!$S$5:$S$24)</f>
        <v>57119.51</v>
      </c>
    </row>
    <row r="11" customFormat="false" ht="15" hidden="false" customHeight="false" outlineLevel="0" collapsed="false">
      <c r="A11" s="12" t="s">
        <v>115</v>
      </c>
      <c r="B11" s="12" t="n">
        <f aca="false">SUM(B4:B10)</f>
        <v>20</v>
      </c>
      <c r="C11" s="17" t="n">
        <f aca="false">SUM(C4:C10)</f>
        <v>217500</v>
      </c>
      <c r="D11" s="17" t="n">
        <f aca="false">SUM(D4:D10)</f>
        <v>38213.99</v>
      </c>
      <c r="E11" s="17" t="n">
        <f aca="false">SUM(E4:E10)</f>
        <v>179286.01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15" t="s">
        <v>118</v>
      </c>
      <c r="B4" s="18" t="s">
        <v>119</v>
      </c>
    </row>
    <row r="5" customFormat="false" ht="15" hidden="false" customHeight="false" outlineLevel="0" collapsed="false">
      <c r="A5" s="15" t="s">
        <v>120</v>
      </c>
      <c r="B5" s="18" t="s">
        <v>121</v>
      </c>
    </row>
    <row r="6" customFormat="false" ht="15" hidden="false" customHeight="false" outlineLevel="0" collapsed="false">
      <c r="A6" s="15" t="s">
        <v>122</v>
      </c>
      <c r="B6" s="19" t="n">
        <v>0.4</v>
      </c>
    </row>
    <row r="7" customFormat="false" ht="15" hidden="false" customHeight="false" outlineLevel="0" collapsed="false">
      <c r="A7" s="15" t="s">
        <v>123</v>
      </c>
      <c r="B7" s="20" t="n">
        <v>150</v>
      </c>
    </row>
    <row r="8" customFormat="false" ht="15" hidden="false" customHeight="false" outlineLevel="0" collapsed="false">
      <c r="A8" s="15" t="s">
        <v>124</v>
      </c>
      <c r="B8" s="20" t="n">
        <v>100</v>
      </c>
    </row>
    <row r="9" customFormat="false" ht="15" hidden="false" customHeight="false" outlineLevel="0" collapsed="false">
      <c r="A9" s="15" t="s">
        <v>125</v>
      </c>
      <c r="B9" s="19" t="n">
        <v>0.08</v>
      </c>
    </row>
    <row r="10" customFormat="false" ht="15" hidden="false" customHeight="false" outlineLevel="0" collapsed="false">
      <c r="A10" s="15" t="s">
        <v>126</v>
      </c>
      <c r="B10" s="20" t="n">
        <v>75</v>
      </c>
    </row>
    <row r="13" customFormat="false" ht="15" hidden="false" customHeight="false" outlineLevel="0" collapsed="false">
      <c r="A13" s="21" t="s">
        <v>127</v>
      </c>
    </row>
    <row r="14" customFormat="false" ht="15" hidden="false" customHeight="false" outlineLevel="0" collapsed="false">
      <c r="A14" s="22" t="s">
        <v>128</v>
      </c>
      <c r="B14" s="22" t="s">
        <v>129</v>
      </c>
    </row>
    <row r="15" customFormat="false" ht="15" hidden="false" customHeight="false" outlineLevel="0" collapsed="false">
      <c r="A15" s="5" t="n">
        <v>0</v>
      </c>
      <c r="B15" s="23" t="n">
        <v>0.05</v>
      </c>
    </row>
    <row r="16" customFormat="false" ht="15" hidden="false" customHeight="false" outlineLevel="0" collapsed="false">
      <c r="A16" s="5" t="n">
        <v>60000</v>
      </c>
      <c r="B16" s="23" t="n">
        <v>0.08</v>
      </c>
    </row>
    <row r="17" customFormat="false" ht="15" hidden="false" customHeight="false" outlineLevel="0" collapsed="false">
      <c r="A17" s="5" t="n">
        <v>90000</v>
      </c>
      <c r="B17" s="23" t="n">
        <v>0.12</v>
      </c>
    </row>
    <row r="18" customFormat="false" ht="15" hidden="false" customHeight="false" outlineLevel="0" collapsed="false">
      <c r="A18" s="5" t="n">
        <v>120000</v>
      </c>
      <c r="B18" s="23" t="n">
        <v>0.16</v>
      </c>
    </row>
    <row r="19" customFormat="false" ht="15" hidden="false" customHeight="false" outlineLevel="0" collapsed="false">
      <c r="A19" s="5" t="n">
        <v>150000</v>
      </c>
      <c r="B19" s="23" t="n">
        <v>0.2</v>
      </c>
    </row>
    <row r="21" customFormat="false" ht="15" hidden="false" customHeight="false" outlineLevel="0" collapsed="false">
      <c r="A21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2026-10-05T06:11:16Z</dcterms:created>
  <dc:creator>openpyxl</dc:creator>
  <dc:description/>
  <dc:language>en-US</dc:language>
  <cp:lastModifiedBy/>
  <dcterms:modified xsi:type="dcterms:W3CDTF">2026-10-05T06:11:17Z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