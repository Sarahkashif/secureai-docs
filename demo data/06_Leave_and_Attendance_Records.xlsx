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ve Balances" sheetId="1" state="visible" r:id="rId3"/>
    <sheet name="Leave Log" sheetId="2" state="visible" r:id="rId4"/>
    <sheet name="Monthly Leave Summary" sheetId="3" state="visible" r:id="rId5"/>
    <sheet name="Attendance Sep 2026" sheetId="4" state="visible" r:id="rId6"/>
    <sheet name="Holidays" sheetId="5" state="visible" r:id="rId7"/>
    <sheet name="Leave Rules" sheetId="6" state="visible" r:id="rId8"/>
  </sheets>
  <definedNames>
    <definedName function="false" hidden="true" localSheetId="0" name="_xlnm._FilterDatabase" vbProcedure="false">'Leave Balances'!$A$4:$P$24</definedName>
    <definedName function="false" hidden="true" localSheetId="1" name="_xlnm._FilterDatabase" vbProcedure="false">'Leave Log'!$A$4:$L$62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<sst xmlns="http://schemas.openxmlformats.org/spreadsheetml/2006/main" count="1096" uniqueCount="236">
  <si>
    <t xml:space="preserve">Nexora Technologies Ltd. — Leave Balances 2026</t>
  </si>
  <si>
    <t xml:space="preserve">Used days count Approved leave only. Pending shows requests awaiting approval. Carry-forward (blue) is from 2025, capped at 5 days per policy. Report date: 05-Oct-2026.</t>
  </si>
  <si>
    <t xml:space="preserve">Employee ID</t>
  </si>
  <si>
    <t xml:space="preserve">Full Name</t>
  </si>
  <si>
    <t xml:space="preserve">Department</t>
  </si>
  <si>
    <t xml:space="preserve">Employment Type</t>
  </si>
  <si>
    <t xml:space="preserve">Annual Entitlement</t>
  </si>
  <si>
    <t xml:space="preserve">Carry Forward (2025)</t>
  </si>
  <si>
    <t xml:space="preserve">Annual Used</t>
  </si>
  <si>
    <t xml:space="preserve">Annual Balance</t>
  </si>
  <si>
    <t xml:space="preserve">Sick Entitlement</t>
  </si>
  <si>
    <t xml:space="preserve">Sick Used</t>
  </si>
  <si>
    <t xml:space="preserve">Sick Balance</t>
  </si>
  <si>
    <t xml:space="preserve">Casual Entitlement</t>
  </si>
  <si>
    <t xml:space="preserve">Casual Used</t>
  </si>
  <si>
    <t xml:space="preserve">Casual Balance</t>
  </si>
  <si>
    <t xml:space="preserve">Total Days Taken</t>
  </si>
  <si>
    <t xml:space="preserve">Pending Days</t>
  </si>
  <si>
    <t xml:space="preserve">NX-001</t>
  </si>
  <si>
    <t xml:space="preserve">Daniel Carter</t>
  </si>
  <si>
    <t xml:space="preserve">Executive</t>
  </si>
  <si>
    <t xml:space="preserve">Full-time</t>
  </si>
  <si>
    <t xml:space="preserve">NX-002</t>
  </si>
  <si>
    <t xml:space="preserve">Sophia Bennett</t>
  </si>
  <si>
    <t xml:space="preserve">Finance</t>
  </si>
  <si>
    <t xml:space="preserve">NX-003</t>
  </si>
  <si>
    <t xml:space="preserve">Marcus Reed</t>
  </si>
  <si>
    <t xml:space="preserve">Technology</t>
  </si>
  <si>
    <t xml:space="preserve">NX-004</t>
  </si>
  <si>
    <t xml:space="preserve">Olivia Hughes</t>
  </si>
  <si>
    <t xml:space="preserve">Human Resources</t>
  </si>
  <si>
    <t xml:space="preserve">NX-005</t>
  </si>
  <si>
    <t xml:space="preserve">Ethan Brooks</t>
  </si>
  <si>
    <t xml:space="preserve">NX-006</t>
  </si>
  <si>
    <t xml:space="preserve">Isabella Foster</t>
  </si>
  <si>
    <t xml:space="preserve">NX-007</t>
  </si>
  <si>
    <t xml:space="preserve">Liam Sanders</t>
  </si>
  <si>
    <t xml:space="preserve">NX-008</t>
  </si>
  <si>
    <t xml:space="preserve">Ava Mitchell</t>
  </si>
  <si>
    <t xml:space="preserve">NX-009</t>
  </si>
  <si>
    <t xml:space="preserve">Noah Parker</t>
  </si>
  <si>
    <t xml:space="preserve">Sales</t>
  </si>
  <si>
    <t xml:space="preserve">NX-010</t>
  </si>
  <si>
    <t xml:space="preserve">Emma Collins</t>
  </si>
  <si>
    <t xml:space="preserve">NX-011</t>
  </si>
  <si>
    <t xml:space="preserve">James Ward</t>
  </si>
  <si>
    <t xml:space="preserve">NX-012</t>
  </si>
  <si>
    <t xml:space="preserve">Mia Turner</t>
  </si>
  <si>
    <t xml:space="preserve">Marketing</t>
  </si>
  <si>
    <t xml:space="preserve">NX-013</t>
  </si>
  <si>
    <t xml:space="preserve">Benjamin Hayes</t>
  </si>
  <si>
    <t xml:space="preserve">NX-014</t>
  </si>
  <si>
    <t xml:space="preserve">Charlotte Price</t>
  </si>
  <si>
    <t xml:space="preserve">NX-015</t>
  </si>
  <si>
    <t xml:space="preserve">Lucas Gray</t>
  </si>
  <si>
    <t xml:space="preserve">NX-016</t>
  </si>
  <si>
    <t xml:space="preserve">Amelia Russell</t>
  </si>
  <si>
    <t xml:space="preserve">NX-017</t>
  </si>
  <si>
    <t xml:space="preserve">Henry Coleman</t>
  </si>
  <si>
    <t xml:space="preserve">Operations</t>
  </si>
  <si>
    <t xml:space="preserve">NX-018</t>
  </si>
  <si>
    <t xml:space="preserve">Harper Jenkins</t>
  </si>
  <si>
    <t xml:space="preserve">NX-019</t>
  </si>
  <si>
    <t xml:space="preserve">Jack Stewart</t>
  </si>
  <si>
    <t xml:space="preserve">Contract</t>
  </si>
  <si>
    <t xml:space="preserve">NX-020</t>
  </si>
  <si>
    <t xml:space="preserve">Ella Morgan</t>
  </si>
  <si>
    <t xml:space="preserve">TOTAL</t>
  </si>
  <si>
    <t xml:space="preserve">Leave Log – 2026 (January to date)</t>
  </si>
  <si>
    <t xml:space="preserve">Working Days is a formula (excludes weekends and company holidays). Names are looked up from the Leave Balances sheet. Report date: 05-Oct-2026.</t>
  </si>
  <si>
    <t xml:space="preserve">Leave ID</t>
  </si>
  <si>
    <t xml:space="preserve">Employee Name</t>
  </si>
  <si>
    <t xml:space="preserve">Leave Type</t>
  </si>
  <si>
    <t xml:space="preserve">Start Date</t>
  </si>
  <si>
    <t xml:space="preserve">End Date</t>
  </si>
  <si>
    <t xml:space="preserve">Working Days</t>
  </si>
  <si>
    <t xml:space="preserve">Status</t>
  </si>
  <si>
    <t xml:space="preserve">Applied On</t>
  </si>
  <si>
    <t xml:space="preserve">Approver</t>
  </si>
  <si>
    <t xml:space="preserve">Medical Cert</t>
  </si>
  <si>
    <t xml:space="preserve">Reason</t>
  </si>
  <si>
    <t xml:space="preserve">LV-2026-001</t>
  </si>
  <si>
    <t xml:space="preserve">Sick Leave</t>
  </si>
  <si>
    <t xml:space="preserve">Approved</t>
  </si>
  <si>
    <t xml:space="preserve">No</t>
  </si>
  <si>
    <t xml:space="preserve">Fever</t>
  </si>
  <si>
    <t xml:space="preserve">LV-2026-002</t>
  </si>
  <si>
    <t xml:space="preserve">LV-2026-003</t>
  </si>
  <si>
    <t xml:space="preserve">Annual Leave</t>
  </si>
  <si>
    <t xml:space="preserve">NA</t>
  </si>
  <si>
    <t xml:space="preserve">Travel</t>
  </si>
  <si>
    <t xml:space="preserve">LV-2026-004</t>
  </si>
  <si>
    <t xml:space="preserve">Wedding</t>
  </si>
  <si>
    <t xml:space="preserve">LV-2026-005</t>
  </si>
  <si>
    <t xml:space="preserve">Casual Leave</t>
  </si>
  <si>
    <t xml:space="preserve">Exam</t>
  </si>
  <si>
    <t xml:space="preserve">LV-2026-006</t>
  </si>
  <si>
    <t xml:space="preserve">Flu</t>
  </si>
  <si>
    <t xml:space="preserve">LV-2026-007</t>
  </si>
  <si>
    <t xml:space="preserve">Headache</t>
  </si>
  <si>
    <t xml:space="preserve">LV-2026-008</t>
  </si>
  <si>
    <t xml:space="preserve">Moving house</t>
  </si>
  <si>
    <t xml:space="preserve">LV-2026-009</t>
  </si>
  <si>
    <t xml:space="preserve">Yes</t>
  </si>
  <si>
    <t xml:space="preserve">Chest infection</t>
  </si>
  <si>
    <t xml:space="preserve">LV-2026-010</t>
  </si>
  <si>
    <t xml:space="preserve">Migraine</t>
  </si>
  <si>
    <t xml:space="preserve">LV-2026-011</t>
  </si>
  <si>
    <t xml:space="preserve">Vacation</t>
  </si>
  <si>
    <t xml:space="preserve">LV-2026-012</t>
  </si>
  <si>
    <t xml:space="preserve">Personal</t>
  </si>
  <si>
    <t xml:space="preserve">LV-2026-013</t>
  </si>
  <si>
    <t xml:space="preserve">Board of Directors</t>
  </si>
  <si>
    <t xml:space="preserve">Family vacation</t>
  </si>
  <si>
    <t xml:space="preserve">LV-2026-014</t>
  </si>
  <si>
    <t xml:space="preserve">LV-2026-015</t>
  </si>
  <si>
    <t xml:space="preserve">Bank work</t>
  </si>
  <si>
    <t xml:space="preserve">LV-2026-016</t>
  </si>
  <si>
    <t xml:space="preserve">LV-2026-017</t>
  </si>
  <si>
    <t xml:space="preserve">Family matter</t>
  </si>
  <si>
    <t xml:space="preserve">LV-2026-018</t>
  </si>
  <si>
    <t xml:space="preserve">Family event</t>
  </si>
  <si>
    <t xml:space="preserve">LV-2026-019</t>
  </si>
  <si>
    <t xml:space="preserve">Home maintenance</t>
  </si>
  <si>
    <t xml:space="preserve">LV-2026-020</t>
  </si>
  <si>
    <t xml:space="preserve">LV-2026-021</t>
  </si>
  <si>
    <t xml:space="preserve">LV-2026-022</t>
  </si>
  <si>
    <t xml:space="preserve">LV-2026-023</t>
  </si>
  <si>
    <t xml:space="preserve">Short trip</t>
  </si>
  <si>
    <t xml:space="preserve">LV-2026-024</t>
  </si>
  <si>
    <t xml:space="preserve">Personal travel</t>
  </si>
  <si>
    <t xml:space="preserve">LV-2026-025</t>
  </si>
  <si>
    <t xml:space="preserve">LV-2026-026</t>
  </si>
  <si>
    <t xml:space="preserve">LV-2026-027</t>
  </si>
  <si>
    <t xml:space="preserve">Family trip</t>
  </si>
  <si>
    <t xml:space="preserve">LV-2026-028</t>
  </si>
  <si>
    <t xml:space="preserve">Viral infection</t>
  </si>
  <si>
    <t xml:space="preserve">LV-2026-029</t>
  </si>
  <si>
    <t xml:space="preserve">LV-2026-030</t>
  </si>
  <si>
    <t xml:space="preserve">LV-2026-031</t>
  </si>
  <si>
    <t xml:space="preserve">LV-2026-032</t>
  </si>
  <si>
    <t xml:space="preserve">LV-2026-033</t>
  </si>
  <si>
    <t xml:space="preserve">LV-2026-034</t>
  </si>
  <si>
    <t xml:space="preserve">LV-2026-035</t>
  </si>
  <si>
    <t xml:space="preserve">LV-2026-036</t>
  </si>
  <si>
    <t xml:space="preserve">LV-2026-037</t>
  </si>
  <si>
    <t xml:space="preserve">LV-2026-038</t>
  </si>
  <si>
    <t xml:space="preserve">Rejected</t>
  </si>
  <si>
    <t xml:space="preserve">Travel (rejected: client deadline)</t>
  </si>
  <si>
    <t xml:space="preserve">LV-2026-039</t>
  </si>
  <si>
    <t xml:space="preserve">LV-2026-040</t>
  </si>
  <si>
    <t xml:space="preserve">LV-2026-041</t>
  </si>
  <si>
    <t xml:space="preserve">Stomach upset</t>
  </si>
  <si>
    <t xml:space="preserve">LV-2026-042</t>
  </si>
  <si>
    <t xml:space="preserve">Back injury</t>
  </si>
  <si>
    <t xml:space="preserve">LV-2026-043</t>
  </si>
  <si>
    <t xml:space="preserve">LV-2026-044</t>
  </si>
  <si>
    <t xml:space="preserve">Summer break</t>
  </si>
  <si>
    <t xml:space="preserve">LV-2026-045</t>
  </si>
  <si>
    <t xml:space="preserve">LV-2026-046</t>
  </si>
  <si>
    <t xml:space="preserve">LV-2026-047</t>
  </si>
  <si>
    <t xml:space="preserve">Dengue fever</t>
  </si>
  <si>
    <t xml:space="preserve">LV-2026-048</t>
  </si>
  <si>
    <t xml:space="preserve">LV-2026-049</t>
  </si>
  <si>
    <t xml:space="preserve">Food poisoning</t>
  </si>
  <si>
    <t xml:space="preserve">LV-2026-050</t>
  </si>
  <si>
    <t xml:space="preserve">Personal errand</t>
  </si>
  <si>
    <t xml:space="preserve">LV-2026-051</t>
  </si>
  <si>
    <t xml:space="preserve">LV-2026-052</t>
  </si>
  <si>
    <t xml:space="preserve">Family visit</t>
  </si>
  <si>
    <t xml:space="preserve">LV-2026-053</t>
  </si>
  <si>
    <t xml:space="preserve">LV-2026-054</t>
  </si>
  <si>
    <t xml:space="preserve">LV-2026-055</t>
  </si>
  <si>
    <t xml:space="preserve">Cold and fever</t>
  </si>
  <si>
    <t xml:space="preserve">LV-2026-056</t>
  </si>
  <si>
    <t xml:space="preserve">Pending</t>
  </si>
  <si>
    <t xml:space="preserve">—</t>
  </si>
  <si>
    <t xml:space="preserve">LV-2026-057</t>
  </si>
  <si>
    <t xml:space="preserve">LV-2026-058</t>
  </si>
  <si>
    <t xml:space="preserve">Year-end holiday</t>
  </si>
  <si>
    <t xml:space="preserve">Approved Leave Days by Month – 2026</t>
  </si>
  <si>
    <t xml:space="preserve">Formula-driven from the Leave Log (each request falls within a single month).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</si>
  <si>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</si>
  <si>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</si>
  <si>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</si>
  <si>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</si>
  <si>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</si>
  <si>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</si>
  <si>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</si>
  <si>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</si>
  <si>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</si>
  <si>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</si>
  <si>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</si>
  <si>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</si>
  <si>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</si>
  <si>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Daily Attendance – September 2026</t>
  </si>
  <si>
    <t xml:space="preserve">Codes: P = Present (office), W = Work from home, AL = Annual leave, SL = Sick leave, CL = Casual leave. Weekends greyed. Leave codes come from approved Leave Log entries. Late Marks (blue) is an input.</t>
  </si>
  <si>
    <t xml:space="preserve">Present (Office)</t>
  </si>
  <si>
    <t xml:space="preserve">Work From Home</t>
  </si>
  <si>
    <t xml:space="preserve">Leave Days</t>
  </si>
  <si>
    <t xml:space="preserve">Days Paid</t>
  </si>
  <si>
    <t xml:space="preserve">Late Marks</t>
  </si>
  <si>
    <t xml:space="preserve">Leave Log Check</t>
  </si>
  <si>
    <t xml:space="preserve">Check</t>
  </si>
  <si>
    <t xml:space="preserve">P</t>
  </si>
  <si>
    <t xml:space="preserve">W</t>
  </si>
  <si>
    <t xml:space="preserve">CL</t>
  </si>
  <si>
    <t xml:space="preserve">AL</t>
  </si>
  <si>
    <t xml:space="preserve">SL</t>
  </si>
  <si>
    <t xml:space="preserve">Company Holiday Calendar 2026</t>
  </si>
  <si>
    <t xml:space="preserve">Public holidays are excluded from leave-day counts (NETWORKDAYS). Blue = inputs.</t>
  </si>
  <si>
    <t xml:space="preserve">Date</t>
  </si>
  <si>
    <t xml:space="preserve">Holiday</t>
  </si>
  <si>
    <t xml:space="preserve">Day</t>
  </si>
  <si>
    <t xml:space="preserve">New Year's Day</t>
  </si>
  <si>
    <t xml:space="preserve">Good Friday</t>
  </si>
  <si>
    <t xml:space="preserve">Labour Day</t>
  </si>
  <si>
    <t xml:space="preserve">Thanksgiving Day</t>
  </si>
  <si>
    <t xml:space="preserve">Christmas Day</t>
  </si>
  <si>
    <t xml:space="preserve">Leave Rules (2026) – per Company Policies manual, Section 3</t>
  </si>
  <si>
    <t xml:space="preserve">Blue = input. Change a value and balances recalculate. Maternity (90 days) and Paternity (10 days) are not used in 2026 records.</t>
  </si>
  <si>
    <t xml:space="preserve">Rule</t>
  </si>
  <si>
    <t xml:space="preserve">Value</t>
  </si>
  <si>
    <t xml:space="preserve">Notes</t>
  </si>
  <si>
    <t xml:space="preserve">Annual Leave – Full-time (days/yr)</t>
  </si>
  <si>
    <t xml:space="preserve">Up to 5 unused days carried forward; rest lapse 31 March.</t>
  </si>
  <si>
    <t xml:space="preserve">Annual Leave – Contract (days per completed month)</t>
  </si>
  <si>
    <t xml:space="preserve">Pro rata at 1.5 days per completed month.</t>
  </si>
  <si>
    <t xml:space="preserve">Contract: completed months counted in 2026</t>
  </si>
  <si>
    <t xml:space="preserve">Both contract employees joined before 2025, so a full year applies.</t>
  </si>
  <si>
    <t xml:space="preserve">Sick Leave (days/yr)</t>
  </si>
  <si>
    <t xml:space="preserve">Medical certificate required for 3+ consecutive days.</t>
  </si>
  <si>
    <t xml:space="preserve">Casual Leave (days/yr)</t>
  </si>
  <si>
    <t xml:space="preserve">Max 2 consecutive days; not carried forward.</t>
  </si>
  <si>
    <t xml:space="preserve">Standard working days per month (payroll)</t>
  </si>
  <si>
    <t xml:space="preserve">Used for unpaid-leave deduction (1/22 of basic).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</si>
</sst>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;\-0.0;0"/>
    <numFmt numFmtId="166" formatCode="dd\-mmm\-yyyy"/>
    <numFmt numFmtId="167" formatCode="0;\-0;\-"/>
    <numFmt numFmtId="168" formatCode="d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A6A6A6"/>
      <name val="Arial"/>
      <family val="0"/>
      <charset val="1"/>
    </font>
    <font>
      <sz val="10"/>
      <name val="Arial"/>
      <family val="0"/>
      <charset val="1"/>
    </font>
    <font>
      <sz val="8"/>
      <color rgb="FF7F7F7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DDEBF7"/>
      </patternFill>
    </fill>
    <fill>
      <patternFill patternType="solid">
        <fgColor rgb="FFD9E2F3"/>
        <bgColor rgb="FFDDEBF7"/>
      </patternFill>
    </fill>
    <fill>
      <patternFill patternType="solid">
        <fgColor rgb="FFD9D9D9"/>
        <bgColor rgb="FFD9E2F3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D9E2F3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16" min="5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5" t="n">
        <f aca="false">IF(D5="Contract",'Leave Rules'!$B$6*'Leave Rules'!$B$7,'Leave Rules'!$B$5)</f>
        <v>20</v>
      </c>
      <c r="F5" s="6" t="n">
        <v>2</v>
      </c>
      <c r="G5" s="5" t="n">
        <f aca="false">SUMIFS('Leave Log'!$G$5:$G$62,'Leave Log'!$B$5:$B$62,$A5,'Leave Log'!$D$5:$D$62,"Annual Leave",'Leave Log'!$H$5:$H$62,"Approved")</f>
        <v>10</v>
      </c>
      <c r="H5" s="5" t="n">
        <f aca="false">E5+F5-G5</f>
        <v>12</v>
      </c>
      <c r="I5" s="7" t="n">
        <f aca="false">'Leave Rules'!$B$8</f>
        <v>10</v>
      </c>
      <c r="J5" s="5" t="n">
        <f aca="false">SUMIFS('Leave Log'!$G$5:$G$62,'Leave Log'!$B$5:$B$62,$A5,'Leave Log'!$D$5:$D$62,"Sick Leave",'Leave Log'!$H$5:$H$62,"Approved")</f>
        <v>0</v>
      </c>
      <c r="K5" s="5" t="n">
        <f aca="false">I5-J5</f>
        <v>10</v>
      </c>
      <c r="L5" s="7" t="n">
        <f aca="false">'Leave Rules'!$B$9</f>
        <v>6</v>
      </c>
      <c r="M5" s="5" t="n">
        <f aca="false">SUMIFS('Leave Log'!$G$5:$G$62,'Leave Log'!$B$5:$B$62,$A5,'Leave Log'!$D$5:$D$62,"Casual Leave",'Leave Log'!$H$5:$H$62,"Approved")</f>
        <v>0</v>
      </c>
      <c r="N5" s="5" t="n">
        <f aca="false">L5-M5</f>
        <v>6</v>
      </c>
      <c r="O5" s="5" t="n">
        <f aca="false">G5+J5+M5</f>
        <v>10</v>
      </c>
      <c r="P5" s="5" t="n">
        <f aca="false">SUMIFS('Leave Log'!$G$5:$G$62,'Leave Log'!$B$5:$B$62,$A5,'Leave Log'!$H$5:$H$62,"Pending")</f>
        <v>0</v>
      </c>
    </row>
    <row r="6" customFormat="false" ht="15" hidden="false" customHeight="false" outlineLevel="0" collapsed="false">
      <c r="A6" s="8" t="s">
        <v>22</v>
      </c>
      <c r="B6" s="8" t="s">
        <v>23</v>
      </c>
      <c r="C6" s="8" t="s">
        <v>24</v>
      </c>
      <c r="D6" s="8" t="s">
        <v>21</v>
      </c>
      <c r="E6" s="9" t="n">
        <f aca="false">IF(D6="Contract",'Leave Rules'!$B$6*'Leave Rules'!$B$7,'Leave Rules'!$B$5)</f>
        <v>20</v>
      </c>
      <c r="F6" s="10" t="n">
        <v>5</v>
      </c>
      <c r="G6" s="9" t="n">
        <f aca="false">SUMIFS('Leave Log'!$G$5:$G$62,'Leave Log'!$B$5:$B$62,$A6,'Leave Log'!$D$5:$D$62,"Annual Leave",'Leave Log'!$H$5:$H$62,"Approved")</f>
        <v>5</v>
      </c>
      <c r="H6" s="9" t="n">
        <f aca="false">E6+F6-G6</f>
        <v>20</v>
      </c>
      <c r="I6" s="11" t="n">
        <f aca="false">'Leave Rules'!$B$8</f>
        <v>10</v>
      </c>
      <c r="J6" s="9" t="n">
        <f aca="false">SUMIFS('Leave Log'!$G$5:$G$62,'Leave Log'!$B$5:$B$62,$A6,'Leave Log'!$D$5:$D$62,"Sick Leave",'Leave Log'!$H$5:$H$62,"Approved")</f>
        <v>2</v>
      </c>
      <c r="K6" s="9" t="n">
        <f aca="false">I6-J6</f>
        <v>8</v>
      </c>
      <c r="L6" s="11" t="n">
        <f aca="false">'Leave Rules'!$B$9</f>
        <v>6</v>
      </c>
      <c r="M6" s="9" t="n">
        <f aca="false">SUMIFS('Leave Log'!$G$5:$G$62,'Leave Log'!$B$5:$B$62,$A6,'Leave Log'!$D$5:$D$62,"Casual Leave",'Leave Log'!$H$5:$H$62,"Approved")</f>
        <v>1</v>
      </c>
      <c r="N6" s="9" t="n">
        <f aca="false">L6-M6</f>
        <v>5</v>
      </c>
      <c r="O6" s="9" t="n">
        <f aca="false">G6+J6+M6</f>
        <v>8</v>
      </c>
      <c r="P6" s="9" t="n">
        <f aca="false">SUMIFS('Leave Log'!$G$5:$G$62,'Leave Log'!$B$5:$B$62,$A6,'Leave Log'!$H$5:$H$62,"Pending")</f>
        <v>0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21</v>
      </c>
      <c r="E7" s="5" t="n">
        <f aca="false">IF(D7="Contract",'Leave Rules'!$B$6*'Leave Rules'!$B$7,'Leave Rules'!$B$5)</f>
        <v>20</v>
      </c>
      <c r="F7" s="6" t="n">
        <v>0</v>
      </c>
      <c r="G7" s="5" t="n">
        <f aca="false">SUMIFS('Leave Log'!$G$5:$G$62,'Leave Log'!$B$5:$B$62,$A7,'Leave Log'!$D$5:$D$62,"Annual Leave",'Leave Log'!$H$5:$H$62,"Approved")</f>
        <v>5</v>
      </c>
      <c r="H7" s="5" t="n">
        <f aca="false">E7+F7-G7</f>
        <v>15</v>
      </c>
      <c r="I7" s="7" t="n">
        <f aca="false">'Leave Rules'!$B$8</f>
        <v>10</v>
      </c>
      <c r="J7" s="5" t="n">
        <f aca="false">SUMIFS('Leave Log'!$G$5:$G$62,'Leave Log'!$B$5:$B$62,$A7,'Leave Log'!$D$5:$D$62,"Sick Leave",'Leave Log'!$H$5:$H$62,"Approved")</f>
        <v>0</v>
      </c>
      <c r="K7" s="5" t="n">
        <f aca="false">I7-J7</f>
        <v>10</v>
      </c>
      <c r="L7" s="7" t="n">
        <f aca="false">'Leave Rules'!$B$9</f>
        <v>6</v>
      </c>
      <c r="M7" s="5" t="n">
        <f aca="false">SUMIFS('Leave Log'!$G$5:$G$62,'Leave Log'!$B$5:$B$62,$A7,'Leave Log'!$D$5:$D$62,"Casual Leave",'Leave Log'!$H$5:$H$62,"Approved")</f>
        <v>1</v>
      </c>
      <c r="N7" s="5" t="n">
        <f aca="false">L7-M7</f>
        <v>5</v>
      </c>
      <c r="O7" s="5" t="n">
        <f aca="false">G7+J7+M7</f>
        <v>6</v>
      </c>
      <c r="P7" s="5" t="n">
        <f aca="false">SUMIFS('Leave Log'!$G$5:$G$62,'Leave Log'!$B$5:$B$62,$A7,'Leave Log'!$H$5:$H$62,"Pending")</f>
        <v>0</v>
      </c>
    </row>
    <row r="8" customFormat="false" ht="15" hidden="false" customHeight="false" outlineLevel="0" collapsed="false">
      <c r="A8" s="8" t="s">
        <v>28</v>
      </c>
      <c r="B8" s="8" t="s">
        <v>29</v>
      </c>
      <c r="C8" s="8" t="s">
        <v>30</v>
      </c>
      <c r="D8" s="8" t="s">
        <v>21</v>
      </c>
      <c r="E8" s="9" t="n">
        <f aca="false">IF(D8="Contract",'Leave Rules'!$B$6*'Leave Rules'!$B$7,'Leave Rules'!$B$5)</f>
        <v>20</v>
      </c>
      <c r="F8" s="10" t="n">
        <v>3</v>
      </c>
      <c r="G8" s="9" t="n">
        <f aca="false">SUMIFS('Leave Log'!$G$5:$G$62,'Leave Log'!$B$5:$B$62,$A8,'Leave Log'!$D$5:$D$62,"Annual Leave",'Leave Log'!$H$5:$H$62,"Approved")</f>
        <v>4</v>
      </c>
      <c r="H8" s="9" t="n">
        <f aca="false">E8+F8-G8</f>
        <v>19</v>
      </c>
      <c r="I8" s="11" t="n">
        <f aca="false">'Leave Rules'!$B$8</f>
        <v>10</v>
      </c>
      <c r="J8" s="9" t="n">
        <f aca="false">SUMIFS('Leave Log'!$G$5:$G$62,'Leave Log'!$B$5:$B$62,$A8,'Leave Log'!$D$5:$D$62,"Sick Leave",'Leave Log'!$H$5:$H$62,"Approved")</f>
        <v>3</v>
      </c>
      <c r="K8" s="9" t="n">
        <f aca="false">I8-J8</f>
        <v>7</v>
      </c>
      <c r="L8" s="11" t="n">
        <f aca="false">'Leave Rules'!$B$9</f>
        <v>6</v>
      </c>
      <c r="M8" s="9" t="n">
        <f aca="false">SUMIFS('Leave Log'!$G$5:$G$62,'Leave Log'!$B$5:$B$62,$A8,'Leave Log'!$D$5:$D$62,"Casual Leave",'Leave Log'!$H$5:$H$62,"Approved")</f>
        <v>0</v>
      </c>
      <c r="N8" s="9" t="n">
        <f aca="false">L8-M8</f>
        <v>6</v>
      </c>
      <c r="O8" s="9" t="n">
        <f aca="false">G8+J8+M8</f>
        <v>7</v>
      </c>
      <c r="P8" s="9" t="n">
        <f aca="false">SUMIFS('Leave Log'!$G$5:$G$62,'Leave Log'!$B$5:$B$62,$A8,'Leave Log'!$H$5:$H$62,"Pending")</f>
        <v>4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27</v>
      </c>
      <c r="D9" s="4" t="s">
        <v>21</v>
      </c>
      <c r="E9" s="5" t="n">
        <f aca="false">IF(D9="Contract",'Leave Rules'!$B$6*'Leave Rules'!$B$7,'Leave Rules'!$B$5)</f>
        <v>20</v>
      </c>
      <c r="F9" s="6" t="n">
        <v>4</v>
      </c>
      <c r="G9" s="5" t="n">
        <f aca="false">SUMIFS('Leave Log'!$G$5:$G$62,'Leave Log'!$B$5:$B$62,$A9,'Leave Log'!$D$5:$D$62,"Annual Leave",'Leave Log'!$H$5:$H$62,"Approved")</f>
        <v>10</v>
      </c>
      <c r="H9" s="5" t="n">
        <f aca="false">E9+F9-G9</f>
        <v>14</v>
      </c>
      <c r="I9" s="7" t="n">
        <f aca="false">'Leave Rules'!$B$8</f>
        <v>10</v>
      </c>
      <c r="J9" s="5" t="n">
        <f aca="false">SUMIFS('Leave Log'!$G$5:$G$62,'Leave Log'!$B$5:$B$62,$A9,'Leave Log'!$D$5:$D$62,"Sick Leave",'Leave Log'!$H$5:$H$62,"Approved")</f>
        <v>1</v>
      </c>
      <c r="K9" s="5" t="n">
        <f aca="false">I9-J9</f>
        <v>9</v>
      </c>
      <c r="L9" s="7" t="n">
        <f aca="false">'Leave Rules'!$B$9</f>
        <v>6</v>
      </c>
      <c r="M9" s="5" t="n">
        <f aca="false">SUMIFS('Leave Log'!$G$5:$G$62,'Leave Log'!$B$5:$B$62,$A9,'Leave Log'!$D$5:$D$62,"Casual Leave",'Leave Log'!$H$5:$H$62,"Approved")</f>
        <v>0</v>
      </c>
      <c r="N9" s="5" t="n">
        <f aca="false">L9-M9</f>
        <v>6</v>
      </c>
      <c r="O9" s="5" t="n">
        <f aca="false">G9+J9+M9</f>
        <v>11</v>
      </c>
      <c r="P9" s="5" t="n">
        <f aca="false">SUMIFS('Leave Log'!$G$5:$G$62,'Leave Log'!$B$5:$B$62,$A9,'Leave Log'!$H$5:$H$62,"Pending")</f>
        <v>0</v>
      </c>
    </row>
    <row r="10" customFormat="false" ht="15" hidden="false" customHeight="false" outlineLevel="0" collapsed="false">
      <c r="A10" s="8" t="s">
        <v>33</v>
      </c>
      <c r="B10" s="8" t="s">
        <v>34</v>
      </c>
      <c r="C10" s="8" t="s">
        <v>27</v>
      </c>
      <c r="D10" s="8" t="s">
        <v>21</v>
      </c>
      <c r="E10" s="9" t="n">
        <f aca="false">IF(D10="Contract",'Leave Rules'!$B$6*'Leave Rules'!$B$7,'Leave Rules'!$B$5)</f>
        <v>20</v>
      </c>
      <c r="F10" s="10" t="n">
        <v>1</v>
      </c>
      <c r="G10" s="9" t="n">
        <f aca="false">SUMIFS('Leave Log'!$G$5:$G$62,'Leave Log'!$B$5:$B$62,$A10,'Leave Log'!$D$5:$D$62,"Annual Leave",'Leave Log'!$H$5:$H$62,"Approved")</f>
        <v>5</v>
      </c>
      <c r="H10" s="9" t="n">
        <f aca="false">E10+F10-G10</f>
        <v>16</v>
      </c>
      <c r="I10" s="11" t="n">
        <f aca="false">'Leave Rules'!$B$8</f>
        <v>10</v>
      </c>
      <c r="J10" s="9" t="n">
        <f aca="false">SUMIFS('Leave Log'!$G$5:$G$62,'Leave Log'!$B$5:$B$62,$A10,'Leave Log'!$D$5:$D$62,"Sick Leave",'Leave Log'!$H$5:$H$62,"Approved")</f>
        <v>1</v>
      </c>
      <c r="K10" s="9" t="n">
        <f aca="false">I10-J10</f>
        <v>9</v>
      </c>
      <c r="L10" s="11" t="n">
        <f aca="false">'Leave Rules'!$B$9</f>
        <v>6</v>
      </c>
      <c r="M10" s="9" t="n">
        <f aca="false">SUMIFS('Leave Log'!$G$5:$G$62,'Leave Log'!$B$5:$B$62,$A10,'Leave Log'!$D$5:$D$62,"Casual Leave",'Leave Log'!$H$5:$H$62,"Approved")</f>
        <v>2</v>
      </c>
      <c r="N10" s="9" t="n">
        <f aca="false">L10-M10</f>
        <v>4</v>
      </c>
      <c r="O10" s="9" t="n">
        <f aca="false">G10+J10+M10</f>
        <v>8</v>
      </c>
      <c r="P10" s="9" t="n">
        <f aca="false">SUMIFS('Leave Log'!$G$5:$G$62,'Leave Log'!$B$5:$B$62,$A10,'Leave Log'!$H$5:$H$62,"Pending")</f>
        <v>0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27</v>
      </c>
      <c r="D11" s="4" t="s">
        <v>21</v>
      </c>
      <c r="E11" s="5" t="n">
        <f aca="false">IF(D11="Contract",'Leave Rules'!$B$6*'Leave Rules'!$B$7,'Leave Rules'!$B$5)</f>
        <v>20</v>
      </c>
      <c r="F11" s="6" t="n">
        <v>5</v>
      </c>
      <c r="G11" s="5" t="n">
        <f aca="false">SUMIFS('Leave Log'!$G$5:$G$62,'Leave Log'!$B$5:$B$62,$A11,'Leave Log'!$D$5:$D$62,"Annual Leave",'Leave Log'!$H$5:$H$62,"Approved")</f>
        <v>5</v>
      </c>
      <c r="H11" s="5" t="n">
        <f aca="false">E11+F11-G11</f>
        <v>20</v>
      </c>
      <c r="I11" s="7" t="n">
        <f aca="false">'Leave Rules'!$B$8</f>
        <v>10</v>
      </c>
      <c r="J11" s="5" t="n">
        <f aca="false">SUMIFS('Leave Log'!$G$5:$G$62,'Leave Log'!$B$5:$B$62,$A11,'Leave Log'!$D$5:$D$62,"Sick Leave",'Leave Log'!$H$5:$H$62,"Approved")</f>
        <v>3</v>
      </c>
      <c r="K11" s="5" t="n">
        <f aca="false">I11-J11</f>
        <v>7</v>
      </c>
      <c r="L11" s="7" t="n">
        <f aca="false">'Leave Rules'!$B$9</f>
        <v>6</v>
      </c>
      <c r="M11" s="5" t="n">
        <f aca="false">SUMIFS('Leave Log'!$G$5:$G$62,'Leave Log'!$B$5:$B$62,$A11,'Leave Log'!$D$5:$D$62,"Casual Leave",'Leave Log'!$H$5:$H$62,"Approved")</f>
        <v>0</v>
      </c>
      <c r="N11" s="5" t="n">
        <f aca="false">L11-M11</f>
        <v>6</v>
      </c>
      <c r="O11" s="5" t="n">
        <f aca="false">G11+J11+M11</f>
        <v>8</v>
      </c>
      <c r="P11" s="5" t="n">
        <f aca="false">SUMIFS('Leave Log'!$G$5:$G$62,'Leave Log'!$B$5:$B$62,$A11,'Leave Log'!$H$5:$H$62,"Pending")</f>
        <v>0</v>
      </c>
    </row>
    <row r="12" customFormat="false" ht="15" hidden="false" customHeight="false" outlineLevel="0" collapsed="false">
      <c r="A12" s="8" t="s">
        <v>37</v>
      </c>
      <c r="B12" s="8" t="s">
        <v>38</v>
      </c>
      <c r="C12" s="8" t="s">
        <v>27</v>
      </c>
      <c r="D12" s="8" t="s">
        <v>21</v>
      </c>
      <c r="E12" s="9" t="n">
        <f aca="false">IF(D12="Contract",'Leave Rules'!$B$6*'Leave Rules'!$B$7,'Leave Rules'!$B$5)</f>
        <v>20</v>
      </c>
      <c r="F12" s="10" t="n">
        <v>2</v>
      </c>
      <c r="G12" s="9" t="n">
        <f aca="false">SUMIFS('Leave Log'!$G$5:$G$62,'Leave Log'!$B$5:$B$62,$A12,'Leave Log'!$D$5:$D$62,"Annual Leave",'Leave Log'!$H$5:$H$62,"Approved")</f>
        <v>5</v>
      </c>
      <c r="H12" s="9" t="n">
        <f aca="false">E12+F12-G12</f>
        <v>17</v>
      </c>
      <c r="I12" s="11" t="n">
        <f aca="false">'Leave Rules'!$B$8</f>
        <v>10</v>
      </c>
      <c r="J12" s="9" t="n">
        <f aca="false">SUMIFS('Leave Log'!$G$5:$G$62,'Leave Log'!$B$5:$B$62,$A12,'Leave Log'!$D$5:$D$62,"Sick Leave",'Leave Log'!$H$5:$H$62,"Approved")</f>
        <v>2</v>
      </c>
      <c r="K12" s="9" t="n">
        <f aca="false">I12-J12</f>
        <v>8</v>
      </c>
      <c r="L12" s="11" t="n">
        <f aca="false">'Leave Rules'!$B$9</f>
        <v>6</v>
      </c>
      <c r="M12" s="9" t="n">
        <f aca="false">SUMIFS('Leave Log'!$G$5:$G$62,'Leave Log'!$B$5:$B$62,$A12,'Leave Log'!$D$5:$D$62,"Casual Leave",'Leave Log'!$H$5:$H$62,"Approved")</f>
        <v>1</v>
      </c>
      <c r="N12" s="9" t="n">
        <f aca="false">L12-M12</f>
        <v>5</v>
      </c>
      <c r="O12" s="9" t="n">
        <f aca="false">G12+J12+M12</f>
        <v>8</v>
      </c>
      <c r="P12" s="9" t="n">
        <f aca="false">SUMIFS('Leave Log'!$G$5:$G$62,'Leave Log'!$B$5:$B$62,$A12,'Leave Log'!$H$5:$H$62,"Pending")</f>
        <v>0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4" t="s">
        <v>41</v>
      </c>
      <c r="D13" s="4" t="s">
        <v>21</v>
      </c>
      <c r="E13" s="5" t="n">
        <f aca="false">IF(D13="Contract",'Leave Rules'!$B$6*'Leave Rules'!$B$7,'Leave Rules'!$B$5)</f>
        <v>20</v>
      </c>
      <c r="F13" s="6" t="n">
        <v>0</v>
      </c>
      <c r="G13" s="5" t="n">
        <f aca="false">SUMIFS('Leave Log'!$G$5:$G$62,'Leave Log'!$B$5:$B$62,$A13,'Leave Log'!$D$5:$D$62,"Annual Leave",'Leave Log'!$H$5:$H$62,"Approved")</f>
        <v>5</v>
      </c>
      <c r="H13" s="5" t="n">
        <f aca="false">E13+F13-G13</f>
        <v>15</v>
      </c>
      <c r="I13" s="7" t="n">
        <f aca="false">'Leave Rules'!$B$8</f>
        <v>10</v>
      </c>
      <c r="J13" s="5" t="n">
        <f aca="false">SUMIFS('Leave Log'!$G$5:$G$62,'Leave Log'!$B$5:$B$62,$A13,'Leave Log'!$D$5:$D$62,"Sick Leave",'Leave Log'!$H$5:$H$62,"Approved")</f>
        <v>3</v>
      </c>
      <c r="K13" s="5" t="n">
        <f aca="false">I13-J13</f>
        <v>7</v>
      </c>
      <c r="L13" s="7" t="n">
        <f aca="false">'Leave Rules'!$B$9</f>
        <v>6</v>
      </c>
      <c r="M13" s="5" t="n">
        <f aca="false">SUMIFS('Leave Log'!$G$5:$G$62,'Leave Log'!$B$5:$B$62,$A13,'Leave Log'!$D$5:$D$62,"Casual Leave",'Leave Log'!$H$5:$H$62,"Approved")</f>
        <v>1</v>
      </c>
      <c r="N13" s="5" t="n">
        <f aca="false">L13-M13</f>
        <v>5</v>
      </c>
      <c r="O13" s="5" t="n">
        <f aca="false">G13+J13+M13</f>
        <v>9</v>
      </c>
      <c r="P13" s="5" t="n">
        <f aca="false">SUMIFS('Leave Log'!$G$5:$G$62,'Leave Log'!$B$5:$B$62,$A13,'Leave Log'!$H$5:$H$62,"Pending")</f>
        <v>0</v>
      </c>
    </row>
    <row r="14" customFormat="false" ht="15" hidden="false" customHeight="false" outlineLevel="0" collapsed="false">
      <c r="A14" s="8" t="s">
        <v>42</v>
      </c>
      <c r="B14" s="8" t="s">
        <v>43</v>
      </c>
      <c r="C14" s="8" t="s">
        <v>41</v>
      </c>
      <c r="D14" s="8" t="s">
        <v>21</v>
      </c>
      <c r="E14" s="9" t="n">
        <f aca="false">IF(D14="Contract",'Leave Rules'!$B$6*'Leave Rules'!$B$7,'Leave Rules'!$B$5)</f>
        <v>20</v>
      </c>
      <c r="F14" s="10" t="n">
        <v>3</v>
      </c>
      <c r="G14" s="9" t="n">
        <f aca="false">SUMIFS('Leave Log'!$G$5:$G$62,'Leave Log'!$B$5:$B$62,$A14,'Leave Log'!$D$5:$D$62,"Annual Leave",'Leave Log'!$H$5:$H$62,"Approved")</f>
        <v>10</v>
      </c>
      <c r="H14" s="9" t="n">
        <f aca="false">E14+F14-G14</f>
        <v>13</v>
      </c>
      <c r="I14" s="11" t="n">
        <f aca="false">'Leave Rules'!$B$8</f>
        <v>10</v>
      </c>
      <c r="J14" s="9" t="n">
        <f aca="false">SUMIFS('Leave Log'!$G$5:$G$62,'Leave Log'!$B$5:$B$62,$A14,'Leave Log'!$D$5:$D$62,"Sick Leave",'Leave Log'!$H$5:$H$62,"Approved")</f>
        <v>0</v>
      </c>
      <c r="K14" s="9" t="n">
        <f aca="false">I14-J14</f>
        <v>10</v>
      </c>
      <c r="L14" s="11" t="n">
        <f aca="false">'Leave Rules'!$B$9</f>
        <v>6</v>
      </c>
      <c r="M14" s="9" t="n">
        <f aca="false">SUMIFS('Leave Log'!$G$5:$G$62,'Leave Log'!$B$5:$B$62,$A14,'Leave Log'!$D$5:$D$62,"Casual Leave",'Leave Log'!$H$5:$H$62,"Approved")</f>
        <v>1</v>
      </c>
      <c r="N14" s="9" t="n">
        <f aca="false">L14-M14</f>
        <v>5</v>
      </c>
      <c r="O14" s="9" t="n">
        <f aca="false">G14+J14+M14</f>
        <v>11</v>
      </c>
      <c r="P14" s="9" t="n">
        <f aca="false">SUMIFS('Leave Log'!$G$5:$G$62,'Leave Log'!$B$5:$B$62,$A14,'Leave Log'!$H$5:$H$62,"Pending")</f>
        <v>0</v>
      </c>
    </row>
    <row r="15" customFormat="false" ht="15" hidden="false" customHeight="false" outlineLevel="0" collapsed="false">
      <c r="A15" s="4" t="s">
        <v>44</v>
      </c>
      <c r="B15" s="4" t="s">
        <v>45</v>
      </c>
      <c r="C15" s="4" t="s">
        <v>41</v>
      </c>
      <c r="D15" s="4" t="s">
        <v>21</v>
      </c>
      <c r="E15" s="5" t="n">
        <f aca="false">IF(D15="Contract",'Leave Rules'!$B$6*'Leave Rules'!$B$7,'Leave Rules'!$B$5)</f>
        <v>20</v>
      </c>
      <c r="F15" s="6" t="n">
        <v>1</v>
      </c>
      <c r="G15" s="5" t="n">
        <f aca="false">SUMIFS('Leave Log'!$G$5:$G$62,'Leave Log'!$B$5:$B$62,$A15,'Leave Log'!$D$5:$D$62,"Annual Leave",'Leave Log'!$H$5:$H$62,"Approved")</f>
        <v>5</v>
      </c>
      <c r="H15" s="5" t="n">
        <f aca="false">E15+F15-G15</f>
        <v>16</v>
      </c>
      <c r="I15" s="7" t="n">
        <f aca="false">'Leave Rules'!$B$8</f>
        <v>10</v>
      </c>
      <c r="J15" s="5" t="n">
        <f aca="false">SUMIFS('Leave Log'!$G$5:$G$62,'Leave Log'!$B$5:$B$62,$A15,'Leave Log'!$D$5:$D$62,"Sick Leave",'Leave Log'!$H$5:$H$62,"Approved")</f>
        <v>2</v>
      </c>
      <c r="K15" s="5" t="n">
        <f aca="false">I15-J15</f>
        <v>8</v>
      </c>
      <c r="L15" s="7" t="n">
        <f aca="false">'Leave Rules'!$B$9</f>
        <v>6</v>
      </c>
      <c r="M15" s="5" t="n">
        <f aca="false">SUMIFS('Leave Log'!$G$5:$G$62,'Leave Log'!$B$5:$B$62,$A15,'Leave Log'!$D$5:$D$62,"Casual Leave",'Leave Log'!$H$5:$H$62,"Approved")</f>
        <v>0</v>
      </c>
      <c r="N15" s="5" t="n">
        <f aca="false">L15-M15</f>
        <v>6</v>
      </c>
      <c r="O15" s="5" t="n">
        <f aca="false">G15+J15+M15</f>
        <v>7</v>
      </c>
      <c r="P15" s="5" t="n">
        <f aca="false">SUMIFS('Leave Log'!$G$5:$G$62,'Leave Log'!$B$5:$B$62,$A15,'Leave Log'!$H$5:$H$62,"Pending")</f>
        <v>1</v>
      </c>
    </row>
    <row r="16" customFormat="false" ht="15" hidden="false" customHeight="false" outlineLevel="0" collapsed="false">
      <c r="A16" s="8" t="s">
        <v>46</v>
      </c>
      <c r="B16" s="8" t="s">
        <v>47</v>
      </c>
      <c r="C16" s="8" t="s">
        <v>48</v>
      </c>
      <c r="D16" s="8" t="s">
        <v>21</v>
      </c>
      <c r="E16" s="9" t="n">
        <f aca="false">IF(D16="Contract",'Leave Rules'!$B$6*'Leave Rules'!$B$7,'Leave Rules'!$B$5)</f>
        <v>20</v>
      </c>
      <c r="F16" s="10" t="n">
        <v>4</v>
      </c>
      <c r="G16" s="9" t="n">
        <f aca="false">SUMIFS('Leave Log'!$G$5:$G$62,'Leave Log'!$B$5:$B$62,$A16,'Leave Log'!$D$5:$D$62,"Annual Leave",'Leave Log'!$H$5:$H$62,"Approved")</f>
        <v>5</v>
      </c>
      <c r="H16" s="9" t="n">
        <f aca="false">E16+F16-G16</f>
        <v>19</v>
      </c>
      <c r="I16" s="11" t="n">
        <f aca="false">'Leave Rules'!$B$8</f>
        <v>10</v>
      </c>
      <c r="J16" s="9" t="n">
        <f aca="false">SUMIFS('Leave Log'!$G$5:$G$62,'Leave Log'!$B$5:$B$62,$A16,'Leave Log'!$D$5:$D$62,"Sick Leave",'Leave Log'!$H$5:$H$62,"Approved")</f>
        <v>2</v>
      </c>
      <c r="K16" s="9" t="n">
        <f aca="false">I16-J16</f>
        <v>8</v>
      </c>
      <c r="L16" s="11" t="n">
        <f aca="false">'Leave Rules'!$B$9</f>
        <v>6</v>
      </c>
      <c r="M16" s="9" t="n">
        <f aca="false">SUMIFS('Leave Log'!$G$5:$G$62,'Leave Log'!$B$5:$B$62,$A16,'Leave Log'!$D$5:$D$62,"Casual Leave",'Leave Log'!$H$5:$H$62,"Approved")</f>
        <v>1</v>
      </c>
      <c r="N16" s="9" t="n">
        <f aca="false">L16-M16</f>
        <v>5</v>
      </c>
      <c r="O16" s="9" t="n">
        <f aca="false">G16+J16+M16</f>
        <v>8</v>
      </c>
      <c r="P16" s="9" t="n">
        <f aca="false">SUMIFS('Leave Log'!$G$5:$G$62,'Leave Log'!$B$5:$B$62,$A16,'Leave Log'!$H$5:$H$62,"Pending")</f>
        <v>0</v>
      </c>
    </row>
    <row r="17" customFormat="false" ht="15" hidden="false" customHeight="false" outlineLevel="0" collapsed="false">
      <c r="A17" s="4" t="s">
        <v>49</v>
      </c>
      <c r="B17" s="4" t="s">
        <v>50</v>
      </c>
      <c r="C17" s="4" t="s">
        <v>48</v>
      </c>
      <c r="D17" s="4" t="s">
        <v>21</v>
      </c>
      <c r="E17" s="5" t="n">
        <f aca="false">IF(D17="Contract",'Leave Rules'!$B$6*'Leave Rules'!$B$7,'Leave Rules'!$B$5)</f>
        <v>20</v>
      </c>
      <c r="F17" s="6" t="n">
        <v>0</v>
      </c>
      <c r="G17" s="5" t="n">
        <f aca="false">SUMIFS('Leave Log'!$G$5:$G$62,'Leave Log'!$B$5:$B$62,$A17,'Leave Log'!$D$5:$D$62,"Annual Leave",'Leave Log'!$H$5:$H$62,"Approved")</f>
        <v>5</v>
      </c>
      <c r="H17" s="5" t="n">
        <f aca="false">E17+F17-G17</f>
        <v>15</v>
      </c>
      <c r="I17" s="7" t="n">
        <f aca="false">'Leave Rules'!$B$8</f>
        <v>10</v>
      </c>
      <c r="J17" s="5" t="n">
        <f aca="false">SUMIFS('Leave Log'!$G$5:$G$62,'Leave Log'!$B$5:$B$62,$A17,'Leave Log'!$D$5:$D$62,"Sick Leave",'Leave Log'!$H$5:$H$62,"Approved")</f>
        <v>1</v>
      </c>
      <c r="K17" s="5" t="n">
        <f aca="false">I17-J17</f>
        <v>9</v>
      </c>
      <c r="L17" s="7" t="n">
        <f aca="false">'Leave Rules'!$B$9</f>
        <v>6</v>
      </c>
      <c r="M17" s="5" t="n">
        <f aca="false">SUMIFS('Leave Log'!$G$5:$G$62,'Leave Log'!$B$5:$B$62,$A17,'Leave Log'!$D$5:$D$62,"Casual Leave",'Leave Log'!$H$5:$H$62,"Approved")</f>
        <v>2</v>
      </c>
      <c r="N17" s="5" t="n">
        <f aca="false">L17-M17</f>
        <v>4</v>
      </c>
      <c r="O17" s="5" t="n">
        <f aca="false">G17+J17+M17</f>
        <v>8</v>
      </c>
      <c r="P17" s="5" t="n">
        <f aca="false">SUMIFS('Leave Log'!$G$5:$G$62,'Leave Log'!$B$5:$B$62,$A17,'Leave Log'!$H$5:$H$62,"Pending")</f>
        <v>0</v>
      </c>
    </row>
    <row r="18" customFormat="false" ht="15" hidden="false" customHeight="false" outlineLevel="0" collapsed="false">
      <c r="A18" s="8" t="s">
        <v>51</v>
      </c>
      <c r="B18" s="8" t="s">
        <v>52</v>
      </c>
      <c r="C18" s="8" t="s">
        <v>24</v>
      </c>
      <c r="D18" s="8" t="s">
        <v>21</v>
      </c>
      <c r="E18" s="9" t="n">
        <f aca="false">IF(D18="Contract",'Leave Rules'!$B$6*'Leave Rules'!$B$7,'Leave Rules'!$B$5)</f>
        <v>20</v>
      </c>
      <c r="F18" s="10" t="n">
        <v>2</v>
      </c>
      <c r="G18" s="9" t="n">
        <f aca="false">SUMIFS('Leave Log'!$G$5:$G$62,'Leave Log'!$B$5:$B$62,$A18,'Leave Log'!$D$5:$D$62,"Annual Leave",'Leave Log'!$H$5:$H$62,"Approved")</f>
        <v>5</v>
      </c>
      <c r="H18" s="9" t="n">
        <f aca="false">E18+F18-G18</f>
        <v>17</v>
      </c>
      <c r="I18" s="11" t="n">
        <f aca="false">'Leave Rules'!$B$8</f>
        <v>10</v>
      </c>
      <c r="J18" s="9" t="n">
        <f aca="false">SUMIFS('Leave Log'!$G$5:$G$62,'Leave Log'!$B$5:$B$62,$A18,'Leave Log'!$D$5:$D$62,"Sick Leave",'Leave Log'!$H$5:$H$62,"Approved")</f>
        <v>3</v>
      </c>
      <c r="K18" s="9" t="n">
        <f aca="false">I18-J18</f>
        <v>7</v>
      </c>
      <c r="L18" s="11" t="n">
        <f aca="false">'Leave Rules'!$B$9</f>
        <v>6</v>
      </c>
      <c r="M18" s="9" t="n">
        <f aca="false">SUMIFS('Leave Log'!$G$5:$G$62,'Leave Log'!$B$5:$B$62,$A18,'Leave Log'!$D$5:$D$62,"Casual Leave",'Leave Log'!$H$5:$H$62,"Approved")</f>
        <v>1</v>
      </c>
      <c r="N18" s="9" t="n">
        <f aca="false">L18-M18</f>
        <v>5</v>
      </c>
      <c r="O18" s="9" t="n">
        <f aca="false">G18+J18+M18</f>
        <v>9</v>
      </c>
      <c r="P18" s="9" t="n">
        <f aca="false">SUMIFS('Leave Log'!$G$5:$G$62,'Leave Log'!$B$5:$B$62,$A18,'Leave Log'!$H$5:$H$62,"Pending")</f>
        <v>0</v>
      </c>
    </row>
    <row r="19" customFormat="false" ht="15" hidden="false" customHeight="false" outlineLevel="0" collapsed="false">
      <c r="A19" s="4" t="s">
        <v>53</v>
      </c>
      <c r="B19" s="4" t="s">
        <v>54</v>
      </c>
      <c r="C19" s="4" t="s">
        <v>24</v>
      </c>
      <c r="D19" s="4" t="s">
        <v>21</v>
      </c>
      <c r="E19" s="5" t="n">
        <f aca="false">IF(D19="Contract",'Leave Rules'!$B$6*'Leave Rules'!$B$7,'Leave Rules'!$B$5)</f>
        <v>20</v>
      </c>
      <c r="F19" s="6" t="n">
        <v>5</v>
      </c>
      <c r="G19" s="5" t="n">
        <f aca="false">SUMIFS('Leave Log'!$G$5:$G$62,'Leave Log'!$B$5:$B$62,$A19,'Leave Log'!$D$5:$D$62,"Annual Leave",'Leave Log'!$H$5:$H$62,"Approved")</f>
        <v>5</v>
      </c>
      <c r="H19" s="5" t="n">
        <f aca="false">E19+F19-G19</f>
        <v>20</v>
      </c>
      <c r="I19" s="7" t="n">
        <f aca="false">'Leave Rules'!$B$8</f>
        <v>10</v>
      </c>
      <c r="J19" s="5" t="n">
        <f aca="false">SUMIFS('Leave Log'!$G$5:$G$62,'Leave Log'!$B$5:$B$62,$A19,'Leave Log'!$D$5:$D$62,"Sick Leave",'Leave Log'!$H$5:$H$62,"Approved")</f>
        <v>0</v>
      </c>
      <c r="K19" s="5" t="n">
        <f aca="false">I19-J19</f>
        <v>10</v>
      </c>
      <c r="L19" s="7" t="n">
        <f aca="false">'Leave Rules'!$B$9</f>
        <v>6</v>
      </c>
      <c r="M19" s="5" t="n">
        <f aca="false">SUMIFS('Leave Log'!$G$5:$G$62,'Leave Log'!$B$5:$B$62,$A19,'Leave Log'!$D$5:$D$62,"Casual Leave",'Leave Log'!$H$5:$H$62,"Approved")</f>
        <v>1</v>
      </c>
      <c r="N19" s="5" t="n">
        <f aca="false">L19-M19</f>
        <v>5</v>
      </c>
      <c r="O19" s="5" t="n">
        <f aca="false">G19+J19+M19</f>
        <v>6</v>
      </c>
      <c r="P19" s="5" t="n">
        <f aca="false">SUMIFS('Leave Log'!$G$5:$G$62,'Leave Log'!$B$5:$B$62,$A19,'Leave Log'!$H$5:$H$62,"Pending")</f>
        <v>5</v>
      </c>
    </row>
    <row r="20" customFormat="false" ht="15" hidden="false" customHeight="false" outlineLevel="0" collapsed="false">
      <c r="A20" s="8" t="s">
        <v>55</v>
      </c>
      <c r="B20" s="8" t="s">
        <v>56</v>
      </c>
      <c r="C20" s="8" t="s">
        <v>30</v>
      </c>
      <c r="D20" s="8" t="s">
        <v>21</v>
      </c>
      <c r="E20" s="9" t="n">
        <f aca="false">IF(D20="Contract",'Leave Rules'!$B$6*'Leave Rules'!$B$7,'Leave Rules'!$B$5)</f>
        <v>20</v>
      </c>
      <c r="F20" s="10" t="n">
        <v>3</v>
      </c>
      <c r="G20" s="9" t="n">
        <f aca="false">SUMIFS('Leave Log'!$G$5:$G$62,'Leave Log'!$B$5:$B$62,$A20,'Leave Log'!$D$5:$D$62,"Annual Leave",'Leave Log'!$H$5:$H$62,"Approved")</f>
        <v>7</v>
      </c>
      <c r="H20" s="9" t="n">
        <f aca="false">E20+F20-G20</f>
        <v>16</v>
      </c>
      <c r="I20" s="11" t="n">
        <f aca="false">'Leave Rules'!$B$8</f>
        <v>10</v>
      </c>
      <c r="J20" s="9" t="n">
        <f aca="false">SUMIFS('Leave Log'!$G$5:$G$62,'Leave Log'!$B$5:$B$62,$A20,'Leave Log'!$D$5:$D$62,"Sick Leave",'Leave Log'!$H$5:$H$62,"Approved")</f>
        <v>1</v>
      </c>
      <c r="K20" s="9" t="n">
        <f aca="false">I20-J20</f>
        <v>9</v>
      </c>
      <c r="L20" s="11" t="n">
        <f aca="false">'Leave Rules'!$B$9</f>
        <v>6</v>
      </c>
      <c r="M20" s="9" t="n">
        <f aca="false">SUMIFS('Leave Log'!$G$5:$G$62,'Leave Log'!$B$5:$B$62,$A20,'Leave Log'!$D$5:$D$62,"Casual Leave",'Leave Log'!$H$5:$H$62,"Approved")</f>
        <v>0</v>
      </c>
      <c r="N20" s="9" t="n">
        <f aca="false">L20-M20</f>
        <v>6</v>
      </c>
      <c r="O20" s="9" t="n">
        <f aca="false">G20+J20+M20</f>
        <v>8</v>
      </c>
      <c r="P20" s="9" t="n">
        <f aca="false">SUMIFS('Leave Log'!$G$5:$G$62,'Leave Log'!$B$5:$B$62,$A20,'Leave Log'!$H$5:$H$62,"Pending")</f>
        <v>0</v>
      </c>
    </row>
    <row r="21" customFormat="false" ht="15" hidden="false" customHeight="false" outlineLevel="0" collapsed="false">
      <c r="A21" s="4" t="s">
        <v>57</v>
      </c>
      <c r="B21" s="4" t="s">
        <v>58</v>
      </c>
      <c r="C21" s="4" t="s">
        <v>59</v>
      </c>
      <c r="D21" s="4" t="s">
        <v>21</v>
      </c>
      <c r="E21" s="5" t="n">
        <f aca="false">IF(D21="Contract",'Leave Rules'!$B$6*'Leave Rules'!$B$7,'Leave Rules'!$B$5)</f>
        <v>20</v>
      </c>
      <c r="F21" s="6" t="n">
        <v>1</v>
      </c>
      <c r="G21" s="5" t="n">
        <f aca="false">SUMIFS('Leave Log'!$G$5:$G$62,'Leave Log'!$B$5:$B$62,$A21,'Leave Log'!$D$5:$D$62,"Annual Leave",'Leave Log'!$H$5:$H$62,"Approved")</f>
        <v>4</v>
      </c>
      <c r="H21" s="5" t="n">
        <f aca="false">E21+F21-G21</f>
        <v>17</v>
      </c>
      <c r="I21" s="7" t="n">
        <f aca="false">'Leave Rules'!$B$8</f>
        <v>10</v>
      </c>
      <c r="J21" s="5" t="n">
        <f aca="false">SUMIFS('Leave Log'!$G$5:$G$62,'Leave Log'!$B$5:$B$62,$A21,'Leave Log'!$D$5:$D$62,"Sick Leave",'Leave Log'!$H$5:$H$62,"Approved")</f>
        <v>2</v>
      </c>
      <c r="K21" s="5" t="n">
        <f aca="false">I21-J21</f>
        <v>8</v>
      </c>
      <c r="L21" s="7" t="n">
        <f aca="false">'Leave Rules'!$B$9</f>
        <v>6</v>
      </c>
      <c r="M21" s="5" t="n">
        <f aca="false">SUMIFS('Leave Log'!$G$5:$G$62,'Leave Log'!$B$5:$B$62,$A21,'Leave Log'!$D$5:$D$62,"Casual Leave",'Leave Log'!$H$5:$H$62,"Approved")</f>
        <v>1</v>
      </c>
      <c r="N21" s="5" t="n">
        <f aca="false">L21-M21</f>
        <v>5</v>
      </c>
      <c r="O21" s="5" t="n">
        <f aca="false">G21+J21+M21</f>
        <v>7</v>
      </c>
      <c r="P21" s="5" t="n">
        <f aca="false">SUMIFS('Leave Log'!$G$5:$G$62,'Leave Log'!$B$5:$B$62,$A21,'Leave Log'!$H$5:$H$62,"Pending")</f>
        <v>0</v>
      </c>
    </row>
    <row r="22" customFormat="false" ht="15" hidden="false" customHeight="false" outlineLevel="0" collapsed="false">
      <c r="A22" s="8" t="s">
        <v>60</v>
      </c>
      <c r="B22" s="8" t="s">
        <v>61</v>
      </c>
      <c r="C22" s="8" t="s">
        <v>59</v>
      </c>
      <c r="D22" s="8" t="s">
        <v>21</v>
      </c>
      <c r="E22" s="9" t="n">
        <f aca="false">IF(D22="Contract",'Leave Rules'!$B$6*'Leave Rules'!$B$7,'Leave Rules'!$B$5)</f>
        <v>20</v>
      </c>
      <c r="F22" s="10" t="n">
        <v>0</v>
      </c>
      <c r="G22" s="9" t="n">
        <f aca="false">SUMIFS('Leave Log'!$G$5:$G$62,'Leave Log'!$B$5:$B$62,$A22,'Leave Log'!$D$5:$D$62,"Annual Leave",'Leave Log'!$H$5:$H$62,"Approved")</f>
        <v>5</v>
      </c>
      <c r="H22" s="9" t="n">
        <f aca="false">E22+F22-G22</f>
        <v>15</v>
      </c>
      <c r="I22" s="11" t="n">
        <f aca="false">'Leave Rules'!$B$8</f>
        <v>10</v>
      </c>
      <c r="J22" s="9" t="n">
        <f aca="false">SUMIFS('Leave Log'!$G$5:$G$62,'Leave Log'!$B$5:$B$62,$A22,'Leave Log'!$D$5:$D$62,"Sick Leave",'Leave Log'!$H$5:$H$62,"Approved")</f>
        <v>0</v>
      </c>
      <c r="K22" s="9" t="n">
        <f aca="false">I22-J22</f>
        <v>10</v>
      </c>
      <c r="L22" s="11" t="n">
        <f aca="false">'Leave Rules'!$B$9</f>
        <v>6</v>
      </c>
      <c r="M22" s="9" t="n">
        <f aca="false">SUMIFS('Leave Log'!$G$5:$G$62,'Leave Log'!$B$5:$B$62,$A22,'Leave Log'!$D$5:$D$62,"Casual Leave",'Leave Log'!$H$5:$H$62,"Approved")</f>
        <v>1</v>
      </c>
      <c r="N22" s="9" t="n">
        <f aca="false">L22-M22</f>
        <v>5</v>
      </c>
      <c r="O22" s="9" t="n">
        <f aca="false">G22+J22+M22</f>
        <v>6</v>
      </c>
      <c r="P22" s="9" t="n">
        <f aca="false">SUMIFS('Leave Log'!$G$5:$G$62,'Leave Log'!$B$5:$B$62,$A22,'Leave Log'!$H$5:$H$62,"Pending")</f>
        <v>0</v>
      </c>
    </row>
    <row r="23" customFormat="false" ht="15" hidden="false" customHeight="false" outlineLevel="0" collapsed="false">
      <c r="A23" s="4" t="s">
        <v>62</v>
      </c>
      <c r="B23" s="4" t="s">
        <v>63</v>
      </c>
      <c r="C23" s="4" t="s">
        <v>27</v>
      </c>
      <c r="D23" s="4" t="s">
        <v>64</v>
      </c>
      <c r="E23" s="5" t="n">
        <f aca="false">IF(D23="Contract",'Leave Rules'!$B$6*'Leave Rules'!$B$7,'Leave Rules'!$B$5)</f>
        <v>18</v>
      </c>
      <c r="F23" s="6" t="n">
        <v>0</v>
      </c>
      <c r="G23" s="5" t="n">
        <f aca="false">SUMIFS('Leave Log'!$G$5:$G$62,'Leave Log'!$B$5:$B$62,$A23,'Leave Log'!$D$5:$D$62,"Annual Leave",'Leave Log'!$H$5:$H$62,"Approved")</f>
        <v>4</v>
      </c>
      <c r="H23" s="5" t="n">
        <f aca="false">E23+F23-G23</f>
        <v>14</v>
      </c>
      <c r="I23" s="7" t="n">
        <f aca="false">'Leave Rules'!$B$8</f>
        <v>10</v>
      </c>
      <c r="J23" s="5" t="n">
        <f aca="false">SUMIFS('Leave Log'!$G$5:$G$62,'Leave Log'!$B$5:$B$62,$A23,'Leave Log'!$D$5:$D$62,"Sick Leave",'Leave Log'!$H$5:$H$62,"Approved")</f>
        <v>2</v>
      </c>
      <c r="K23" s="5" t="n">
        <f aca="false">I23-J23</f>
        <v>8</v>
      </c>
      <c r="L23" s="7" t="n">
        <f aca="false">'Leave Rules'!$B$9</f>
        <v>6</v>
      </c>
      <c r="M23" s="5" t="n">
        <f aca="false">SUMIFS('Leave Log'!$G$5:$G$62,'Leave Log'!$B$5:$B$62,$A23,'Leave Log'!$D$5:$D$62,"Casual Leave",'Leave Log'!$H$5:$H$62,"Approved")</f>
        <v>1</v>
      </c>
      <c r="N23" s="5" t="n">
        <f aca="false">L23-M23</f>
        <v>5</v>
      </c>
      <c r="O23" s="5" t="n">
        <f aca="false">G23+J23+M23</f>
        <v>7</v>
      </c>
      <c r="P23" s="5" t="n">
        <f aca="false">SUMIFS('Leave Log'!$G$5:$G$62,'Leave Log'!$B$5:$B$62,$A23,'Leave Log'!$H$5:$H$62,"Pending")</f>
        <v>0</v>
      </c>
    </row>
    <row r="24" customFormat="false" ht="15" hidden="false" customHeight="false" outlineLevel="0" collapsed="false">
      <c r="A24" s="8" t="s">
        <v>65</v>
      </c>
      <c r="B24" s="8" t="s">
        <v>66</v>
      </c>
      <c r="C24" s="8" t="s">
        <v>48</v>
      </c>
      <c r="D24" s="8" t="s">
        <v>64</v>
      </c>
      <c r="E24" s="9" t="n">
        <f aca="false">IF(D24="Contract",'Leave Rules'!$B$6*'Leave Rules'!$B$7,'Leave Rules'!$B$5)</f>
        <v>18</v>
      </c>
      <c r="F24" s="10" t="n">
        <v>0</v>
      </c>
      <c r="G24" s="9" t="n">
        <f aca="false">SUMIFS('Leave Log'!$G$5:$G$62,'Leave Log'!$B$5:$B$62,$A24,'Leave Log'!$D$5:$D$62,"Annual Leave",'Leave Log'!$H$5:$H$62,"Approved")</f>
        <v>3</v>
      </c>
      <c r="H24" s="9" t="n">
        <f aca="false">E24+F24-G24</f>
        <v>15</v>
      </c>
      <c r="I24" s="11" t="n">
        <f aca="false">'Leave Rules'!$B$8</f>
        <v>10</v>
      </c>
      <c r="J24" s="9" t="n">
        <f aca="false">SUMIFS('Leave Log'!$G$5:$G$62,'Leave Log'!$B$5:$B$62,$A24,'Leave Log'!$D$5:$D$62,"Sick Leave",'Leave Log'!$H$5:$H$62,"Approved")</f>
        <v>1</v>
      </c>
      <c r="K24" s="9" t="n">
        <f aca="false">I24-J24</f>
        <v>9</v>
      </c>
      <c r="L24" s="11" t="n">
        <f aca="false">'Leave Rules'!$B$9</f>
        <v>6</v>
      </c>
      <c r="M24" s="9" t="n">
        <f aca="false">SUMIFS('Leave Log'!$G$5:$G$62,'Leave Log'!$B$5:$B$62,$A24,'Leave Log'!$D$5:$D$62,"Casual Leave",'Leave Log'!$H$5:$H$62,"Approved")</f>
        <v>1</v>
      </c>
      <c r="N24" s="9" t="n">
        <f aca="false">L24-M24</f>
        <v>5</v>
      </c>
      <c r="O24" s="9" t="n">
        <f aca="false">G24+J24+M24</f>
        <v>5</v>
      </c>
      <c r="P24" s="9" t="n">
        <f aca="false">SUMIFS('Leave Log'!$G$5:$G$62,'Leave Log'!$B$5:$B$62,$A24,'Leave Log'!$H$5:$H$62,"Pending")</f>
        <v>0</v>
      </c>
    </row>
    <row r="25" customFormat="false" ht="15" hidden="false" customHeight="false" outlineLevel="0" collapsed="false">
      <c r="A25" s="12" t="s">
        <v>67</v>
      </c>
      <c r="B25" s="12"/>
      <c r="C25" s="12"/>
      <c r="D25" s="12"/>
      <c r="E25" s="13" t="n">
        <f aca="false">SUM(E5:E24)</f>
        <v>396</v>
      </c>
      <c r="F25" s="13" t="n">
        <f aca="false">SUM(F5:F24)</f>
        <v>41</v>
      </c>
      <c r="G25" s="13" t="n">
        <f aca="false">SUM(G5:G24)</f>
        <v>112</v>
      </c>
      <c r="H25" s="13" t="n">
        <f aca="false">SUM(H5:H24)</f>
        <v>325</v>
      </c>
      <c r="I25" s="13" t="n">
        <f aca="false">SUM(I5:I24)</f>
        <v>200</v>
      </c>
      <c r="J25" s="13" t="n">
        <f aca="false">SUM(J5:J24)</f>
        <v>29</v>
      </c>
      <c r="K25" s="13" t="n">
        <f aca="false">SUM(K5:K24)</f>
        <v>171</v>
      </c>
      <c r="L25" s="13" t="n">
        <f aca="false">SUM(L5:L24)</f>
        <v>120</v>
      </c>
      <c r="M25" s="13" t="n">
        <f aca="false">SUM(M5:M24)</f>
        <v>16</v>
      </c>
      <c r="N25" s="13" t="n">
        <f aca="false">SUM(N5:N24)</f>
        <v>104</v>
      </c>
      <c r="O25" s="13" t="n">
        <f aca="false">SUM(O5:O24)</f>
        <v>157</v>
      </c>
      <c r="P25" s="13" t="n">
        <f aca="false">SUM(P5:P24)</f>
        <v>10</v>
      </c>
    </row>
  </sheetData>
  <autoFilter ref="A4:P24"/>
  <conditionalFormatting sqref="H5:H24">
    <cfRule type="cellIs" priority="2" operator="lessThan" aboveAverage="0" equalAverage="0" bottom="0" percent="0" rank="0" text="" dxfId="7">
      <formula>0</formula>
    </cfRule>
  </conditionalFormatting>
  <conditionalFormatting sqref="K5:K24">
    <cfRule type="cellIs" priority="3" operator="lessThan" aboveAverage="0" equalAverage="0" bottom="0" percent="0" rank="0" text="" dxfId="7">
      <formula>0</formula>
    </cfRule>
  </conditionalFormatting>
  <conditionalFormatting sqref="N5:N24">
    <cfRule type="cellIs" priority="4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30" hidden="false" customHeight="true" outlineLevel="0" collapsed="false">
      <c r="A4" s="3" t="s">
        <v>70</v>
      </c>
      <c r="B4" s="3" t="s">
        <v>2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</row>
    <row r="5" customFormat="false" ht="15" hidden="false" customHeight="false" outlineLevel="0" collapsed="false">
      <c r="A5" s="14" t="s">
        <v>81</v>
      </c>
      <c r="B5" s="15" t="s">
        <v>44</v>
      </c>
      <c r="C5" s="4" t="str">
        <f aca="false">INDEX('Leave Balances'!$B$5:$B$24,MATCH(B5,'Leave Balances'!$A$5:$A$24,0))</f>
        <v>James Ward</v>
      </c>
      <c r="D5" s="16" t="s">
        <v>82</v>
      </c>
      <c r="E5" s="17" t="n">
        <v>46034</v>
      </c>
      <c r="F5" s="17" t="n">
        <v>46035</v>
      </c>
      <c r="G5" s="14" t="n">
        <f aca="false">NETWORKDAYS(E5,F5,Holidays!$A$5:$A$9)</f>
        <v>2</v>
      </c>
      <c r="H5" s="15" t="s">
        <v>83</v>
      </c>
      <c r="I5" s="17" t="n">
        <v>46034</v>
      </c>
      <c r="J5" s="4" t="s">
        <v>40</v>
      </c>
      <c r="K5" s="15" t="s">
        <v>84</v>
      </c>
      <c r="L5" s="4" t="s">
        <v>85</v>
      </c>
    </row>
    <row r="6" customFormat="false" ht="15" hidden="false" customHeight="false" outlineLevel="0" collapsed="false">
      <c r="A6" s="18" t="s">
        <v>86</v>
      </c>
      <c r="B6" s="19" t="s">
        <v>55</v>
      </c>
      <c r="C6" s="8" t="str">
        <f aca="false">INDEX('Leave Balances'!$B$5:$B$24,MATCH(B6,'Leave Balances'!$A$5:$A$24,0))</f>
        <v>Amelia Russell</v>
      </c>
      <c r="D6" s="20" t="s">
        <v>82</v>
      </c>
      <c r="E6" s="21" t="n">
        <v>46042</v>
      </c>
      <c r="F6" s="21" t="n">
        <v>46042</v>
      </c>
      <c r="G6" s="18" t="n">
        <f aca="false">NETWORKDAYS(E6,F6,Holidays!$A$5:$A$9)</f>
        <v>1</v>
      </c>
      <c r="H6" s="19" t="s">
        <v>83</v>
      </c>
      <c r="I6" s="21" t="n">
        <v>46042</v>
      </c>
      <c r="J6" s="8" t="s">
        <v>29</v>
      </c>
      <c r="K6" s="19" t="s">
        <v>84</v>
      </c>
      <c r="L6" s="8" t="s">
        <v>85</v>
      </c>
    </row>
    <row r="7" customFormat="false" ht="15" hidden="false" customHeight="false" outlineLevel="0" collapsed="false">
      <c r="A7" s="14" t="s">
        <v>87</v>
      </c>
      <c r="B7" s="15" t="s">
        <v>31</v>
      </c>
      <c r="C7" s="4" t="str">
        <f aca="false">INDEX('Leave Balances'!$B$5:$B$24,MATCH(B7,'Leave Balances'!$A$5:$A$24,0))</f>
        <v>Ethan Brooks</v>
      </c>
      <c r="D7" s="16" t="s">
        <v>88</v>
      </c>
      <c r="E7" s="17" t="n">
        <v>46048</v>
      </c>
      <c r="F7" s="17" t="n">
        <v>46052</v>
      </c>
      <c r="G7" s="14" t="n">
        <f aca="false">NETWORKDAYS(E7,F7,Holidays!$A$5:$A$9)</f>
        <v>5</v>
      </c>
      <c r="H7" s="15" t="s">
        <v>83</v>
      </c>
      <c r="I7" s="17" t="n">
        <v>46018</v>
      </c>
      <c r="J7" s="4" t="s">
        <v>26</v>
      </c>
      <c r="K7" s="15" t="s">
        <v>89</v>
      </c>
      <c r="L7" s="4" t="s">
        <v>90</v>
      </c>
    </row>
    <row r="8" customFormat="false" ht="15" hidden="false" customHeight="false" outlineLevel="0" collapsed="false">
      <c r="A8" s="18" t="s">
        <v>91</v>
      </c>
      <c r="B8" s="19" t="s">
        <v>42</v>
      </c>
      <c r="C8" s="8" t="str">
        <f aca="false">INDEX('Leave Balances'!$B$5:$B$24,MATCH(B8,'Leave Balances'!$A$5:$A$24,0))</f>
        <v>Emma Collins</v>
      </c>
      <c r="D8" s="20" t="s">
        <v>88</v>
      </c>
      <c r="E8" s="21" t="n">
        <v>46055</v>
      </c>
      <c r="F8" s="21" t="n">
        <v>46059</v>
      </c>
      <c r="G8" s="18" t="n">
        <f aca="false">NETWORKDAYS(E8,F8,Holidays!$A$5:$A$9)</f>
        <v>5</v>
      </c>
      <c r="H8" s="19" t="s">
        <v>83</v>
      </c>
      <c r="I8" s="21" t="n">
        <v>46025</v>
      </c>
      <c r="J8" s="8" t="s">
        <v>40</v>
      </c>
      <c r="K8" s="19" t="s">
        <v>89</v>
      </c>
      <c r="L8" s="8" t="s">
        <v>92</v>
      </c>
    </row>
    <row r="9" customFormat="false" ht="15" hidden="false" customHeight="false" outlineLevel="0" collapsed="false">
      <c r="A9" s="14" t="s">
        <v>93</v>
      </c>
      <c r="B9" s="15" t="s">
        <v>53</v>
      </c>
      <c r="C9" s="4" t="str">
        <f aca="false">INDEX('Leave Balances'!$B$5:$B$24,MATCH(B9,'Leave Balances'!$A$5:$A$24,0))</f>
        <v>Lucas Gray</v>
      </c>
      <c r="D9" s="16" t="s">
        <v>94</v>
      </c>
      <c r="E9" s="17" t="n">
        <v>46062</v>
      </c>
      <c r="F9" s="17" t="n">
        <v>46062</v>
      </c>
      <c r="G9" s="14" t="n">
        <f aca="false">NETWORKDAYS(E9,F9,Holidays!$A$5:$A$9)</f>
        <v>1</v>
      </c>
      <c r="H9" s="15" t="s">
        <v>83</v>
      </c>
      <c r="I9" s="17" t="n">
        <v>46060</v>
      </c>
      <c r="J9" s="4" t="s">
        <v>23</v>
      </c>
      <c r="K9" s="15" t="s">
        <v>89</v>
      </c>
      <c r="L9" s="4" t="s">
        <v>95</v>
      </c>
    </row>
    <row r="10" customFormat="false" ht="15" hidden="false" customHeight="false" outlineLevel="0" collapsed="false">
      <c r="A10" s="18" t="s">
        <v>96</v>
      </c>
      <c r="B10" s="19" t="s">
        <v>22</v>
      </c>
      <c r="C10" s="8" t="str">
        <f aca="false">INDEX('Leave Balances'!$B$5:$B$24,MATCH(B10,'Leave Balances'!$A$5:$A$24,0))</f>
        <v>Sophia Bennett</v>
      </c>
      <c r="D10" s="20" t="s">
        <v>82</v>
      </c>
      <c r="E10" s="21" t="n">
        <v>46063</v>
      </c>
      <c r="F10" s="21" t="n">
        <v>46064</v>
      </c>
      <c r="G10" s="18" t="n">
        <f aca="false">NETWORKDAYS(E10,F10,Holidays!$A$5:$A$9)</f>
        <v>2</v>
      </c>
      <c r="H10" s="19" t="s">
        <v>83</v>
      </c>
      <c r="I10" s="21" t="n">
        <v>46063</v>
      </c>
      <c r="J10" s="8" t="s">
        <v>19</v>
      </c>
      <c r="K10" s="19" t="s">
        <v>84</v>
      </c>
      <c r="L10" s="8" t="s">
        <v>97</v>
      </c>
    </row>
    <row r="11" customFormat="false" ht="15" hidden="false" customHeight="false" outlineLevel="0" collapsed="false">
      <c r="A11" s="14" t="s">
        <v>98</v>
      </c>
      <c r="B11" s="15" t="s">
        <v>49</v>
      </c>
      <c r="C11" s="4" t="str">
        <f aca="false">INDEX('Leave Balances'!$B$5:$B$24,MATCH(B11,'Leave Balances'!$A$5:$A$24,0))</f>
        <v>Benjamin Hayes</v>
      </c>
      <c r="D11" s="16" t="s">
        <v>82</v>
      </c>
      <c r="E11" s="17" t="n">
        <v>46069</v>
      </c>
      <c r="F11" s="17" t="n">
        <v>46069</v>
      </c>
      <c r="G11" s="14" t="n">
        <f aca="false">NETWORKDAYS(E11,F11,Holidays!$A$5:$A$9)</f>
        <v>1</v>
      </c>
      <c r="H11" s="15" t="s">
        <v>83</v>
      </c>
      <c r="I11" s="17" t="n">
        <v>46069</v>
      </c>
      <c r="J11" s="4" t="s">
        <v>47</v>
      </c>
      <c r="K11" s="15" t="s">
        <v>84</v>
      </c>
      <c r="L11" s="4" t="s">
        <v>99</v>
      </c>
    </row>
    <row r="12" customFormat="false" ht="15" hidden="false" customHeight="false" outlineLevel="0" collapsed="false">
      <c r="A12" s="18" t="s">
        <v>100</v>
      </c>
      <c r="B12" s="19" t="s">
        <v>33</v>
      </c>
      <c r="C12" s="8" t="str">
        <f aca="false">INDEX('Leave Balances'!$B$5:$B$24,MATCH(B12,'Leave Balances'!$A$5:$A$24,0))</f>
        <v>Isabella Foster</v>
      </c>
      <c r="D12" s="20" t="s">
        <v>94</v>
      </c>
      <c r="E12" s="21" t="n">
        <v>46076</v>
      </c>
      <c r="F12" s="21" t="n">
        <v>46077</v>
      </c>
      <c r="G12" s="18" t="n">
        <f aca="false">NETWORKDAYS(E12,F12,Holidays!$A$5:$A$9)</f>
        <v>2</v>
      </c>
      <c r="H12" s="19" t="s">
        <v>83</v>
      </c>
      <c r="I12" s="21" t="n">
        <v>46072</v>
      </c>
      <c r="J12" s="8" t="s">
        <v>26</v>
      </c>
      <c r="K12" s="19" t="s">
        <v>89</v>
      </c>
      <c r="L12" s="8" t="s">
        <v>101</v>
      </c>
    </row>
    <row r="13" customFormat="false" ht="15" hidden="false" customHeight="false" outlineLevel="0" collapsed="false">
      <c r="A13" s="14" t="s">
        <v>102</v>
      </c>
      <c r="B13" s="15" t="s">
        <v>51</v>
      </c>
      <c r="C13" s="4" t="str">
        <f aca="false">INDEX('Leave Balances'!$B$5:$B$24,MATCH(B13,'Leave Balances'!$A$5:$A$24,0))</f>
        <v>Charlotte Price</v>
      </c>
      <c r="D13" s="16" t="s">
        <v>82</v>
      </c>
      <c r="E13" s="17" t="n">
        <v>46083</v>
      </c>
      <c r="F13" s="17" t="n">
        <v>46085</v>
      </c>
      <c r="G13" s="14" t="n">
        <f aca="false">NETWORKDAYS(E13,F13,Holidays!$A$5:$A$9)</f>
        <v>3</v>
      </c>
      <c r="H13" s="15" t="s">
        <v>83</v>
      </c>
      <c r="I13" s="17" t="n">
        <v>46083</v>
      </c>
      <c r="J13" s="4" t="s">
        <v>23</v>
      </c>
      <c r="K13" s="15" t="s">
        <v>103</v>
      </c>
      <c r="L13" s="4" t="s">
        <v>104</v>
      </c>
    </row>
    <row r="14" customFormat="false" ht="15" hidden="false" customHeight="false" outlineLevel="0" collapsed="false">
      <c r="A14" s="18" t="s">
        <v>105</v>
      </c>
      <c r="B14" s="19" t="s">
        <v>31</v>
      </c>
      <c r="C14" s="8" t="str">
        <f aca="false">INDEX('Leave Balances'!$B$5:$B$24,MATCH(B14,'Leave Balances'!$A$5:$A$24,0))</f>
        <v>Ethan Brooks</v>
      </c>
      <c r="D14" s="20" t="s">
        <v>82</v>
      </c>
      <c r="E14" s="21" t="n">
        <v>46090</v>
      </c>
      <c r="F14" s="21" t="n">
        <v>46090</v>
      </c>
      <c r="G14" s="18" t="n">
        <f aca="false">NETWORKDAYS(E14,F14,Holidays!$A$5:$A$9)</f>
        <v>1</v>
      </c>
      <c r="H14" s="19" t="s">
        <v>83</v>
      </c>
      <c r="I14" s="21" t="n">
        <v>46090</v>
      </c>
      <c r="J14" s="8" t="s">
        <v>26</v>
      </c>
      <c r="K14" s="19" t="s">
        <v>84</v>
      </c>
      <c r="L14" s="8" t="s">
        <v>106</v>
      </c>
    </row>
    <row r="15" customFormat="false" ht="15" hidden="false" customHeight="false" outlineLevel="0" collapsed="false">
      <c r="A15" s="14" t="s">
        <v>107</v>
      </c>
      <c r="B15" s="15" t="s">
        <v>60</v>
      </c>
      <c r="C15" s="4" t="str">
        <f aca="false">INDEX('Leave Balances'!$B$5:$B$24,MATCH(B15,'Leave Balances'!$A$5:$A$24,0))</f>
        <v>Harper Jenkins</v>
      </c>
      <c r="D15" s="16" t="s">
        <v>88</v>
      </c>
      <c r="E15" s="17" t="n">
        <v>46090</v>
      </c>
      <c r="F15" s="17" t="n">
        <v>46094</v>
      </c>
      <c r="G15" s="14" t="n">
        <f aca="false">NETWORKDAYS(E15,F15,Holidays!$A$5:$A$9)</f>
        <v>5</v>
      </c>
      <c r="H15" s="15" t="s">
        <v>83</v>
      </c>
      <c r="I15" s="17" t="n">
        <v>46060</v>
      </c>
      <c r="J15" s="4" t="s">
        <v>58</v>
      </c>
      <c r="K15" s="15" t="s">
        <v>89</v>
      </c>
      <c r="L15" s="4" t="s">
        <v>108</v>
      </c>
    </row>
    <row r="16" customFormat="false" ht="15" hidden="false" customHeight="false" outlineLevel="0" collapsed="false">
      <c r="A16" s="18" t="s">
        <v>109</v>
      </c>
      <c r="B16" s="19" t="s">
        <v>65</v>
      </c>
      <c r="C16" s="8" t="str">
        <f aca="false">INDEX('Leave Balances'!$B$5:$B$24,MATCH(B16,'Leave Balances'!$A$5:$A$24,0))</f>
        <v>Ella Morgan</v>
      </c>
      <c r="D16" s="20" t="s">
        <v>94</v>
      </c>
      <c r="E16" s="21" t="n">
        <v>46093</v>
      </c>
      <c r="F16" s="21" t="n">
        <v>46093</v>
      </c>
      <c r="G16" s="18" t="n">
        <f aca="false">NETWORKDAYS(E16,F16,Holidays!$A$5:$A$9)</f>
        <v>1</v>
      </c>
      <c r="H16" s="19" t="s">
        <v>83</v>
      </c>
      <c r="I16" s="21" t="n">
        <v>46091</v>
      </c>
      <c r="J16" s="8" t="s">
        <v>47</v>
      </c>
      <c r="K16" s="19" t="s">
        <v>89</v>
      </c>
      <c r="L16" s="8" t="s">
        <v>110</v>
      </c>
    </row>
    <row r="17" customFormat="false" ht="15" hidden="false" customHeight="false" outlineLevel="0" collapsed="false">
      <c r="A17" s="14" t="s">
        <v>111</v>
      </c>
      <c r="B17" s="15" t="s">
        <v>18</v>
      </c>
      <c r="C17" s="4" t="str">
        <f aca="false">INDEX('Leave Balances'!$B$5:$B$24,MATCH(B17,'Leave Balances'!$A$5:$A$24,0))</f>
        <v>Daniel Carter</v>
      </c>
      <c r="D17" s="16" t="s">
        <v>88</v>
      </c>
      <c r="E17" s="17" t="n">
        <v>46097</v>
      </c>
      <c r="F17" s="17" t="n">
        <v>46101</v>
      </c>
      <c r="G17" s="14" t="n">
        <f aca="false">NETWORKDAYS(E17,F17,Holidays!$A$5:$A$9)</f>
        <v>5</v>
      </c>
      <c r="H17" s="15" t="s">
        <v>83</v>
      </c>
      <c r="I17" s="17" t="n">
        <v>46067</v>
      </c>
      <c r="J17" s="4" t="s">
        <v>112</v>
      </c>
      <c r="K17" s="15" t="s">
        <v>89</v>
      </c>
      <c r="L17" s="4" t="s">
        <v>113</v>
      </c>
    </row>
    <row r="18" customFormat="false" ht="15" hidden="false" customHeight="false" outlineLevel="0" collapsed="false">
      <c r="A18" s="18" t="s">
        <v>114</v>
      </c>
      <c r="B18" s="19" t="s">
        <v>46</v>
      </c>
      <c r="C18" s="8" t="str">
        <f aca="false">INDEX('Leave Balances'!$B$5:$B$24,MATCH(B18,'Leave Balances'!$A$5:$A$24,0))</f>
        <v>Mia Turner</v>
      </c>
      <c r="D18" s="20" t="s">
        <v>88</v>
      </c>
      <c r="E18" s="21" t="n">
        <v>46104</v>
      </c>
      <c r="F18" s="21" t="n">
        <v>46108</v>
      </c>
      <c r="G18" s="18" t="n">
        <f aca="false">NETWORKDAYS(E18,F18,Holidays!$A$5:$A$9)</f>
        <v>5</v>
      </c>
      <c r="H18" s="19" t="s">
        <v>83</v>
      </c>
      <c r="I18" s="21" t="n">
        <v>46074</v>
      </c>
      <c r="J18" s="8" t="s">
        <v>19</v>
      </c>
      <c r="K18" s="19" t="s">
        <v>89</v>
      </c>
      <c r="L18" s="8" t="s">
        <v>108</v>
      </c>
    </row>
    <row r="19" customFormat="false" ht="15" hidden="false" customHeight="false" outlineLevel="0" collapsed="false">
      <c r="A19" s="14" t="s">
        <v>115</v>
      </c>
      <c r="B19" s="15" t="s">
        <v>37</v>
      </c>
      <c r="C19" s="4" t="str">
        <f aca="false">INDEX('Leave Balances'!$B$5:$B$24,MATCH(B19,'Leave Balances'!$A$5:$A$24,0))</f>
        <v>Ava Mitchell</v>
      </c>
      <c r="D19" s="16" t="s">
        <v>94</v>
      </c>
      <c r="E19" s="17" t="n">
        <v>46111</v>
      </c>
      <c r="F19" s="17" t="n">
        <v>46111</v>
      </c>
      <c r="G19" s="14" t="n">
        <f aca="false">NETWORKDAYS(E19,F19,Holidays!$A$5:$A$9)</f>
        <v>1</v>
      </c>
      <c r="H19" s="15" t="s">
        <v>83</v>
      </c>
      <c r="I19" s="17" t="n">
        <v>46109</v>
      </c>
      <c r="J19" s="4" t="s">
        <v>26</v>
      </c>
      <c r="K19" s="15" t="s">
        <v>89</v>
      </c>
      <c r="L19" s="4" t="s">
        <v>116</v>
      </c>
    </row>
    <row r="20" customFormat="false" ht="15" hidden="false" customHeight="false" outlineLevel="0" collapsed="false">
      <c r="A20" s="18" t="s">
        <v>117</v>
      </c>
      <c r="B20" s="19" t="s">
        <v>39</v>
      </c>
      <c r="C20" s="8" t="str">
        <f aca="false">INDEX('Leave Balances'!$B$5:$B$24,MATCH(B20,'Leave Balances'!$A$5:$A$24,0))</f>
        <v>Noah Parker</v>
      </c>
      <c r="D20" s="20" t="s">
        <v>88</v>
      </c>
      <c r="E20" s="21" t="n">
        <v>46118</v>
      </c>
      <c r="F20" s="21" t="n">
        <v>46122</v>
      </c>
      <c r="G20" s="18" t="n">
        <f aca="false">NETWORKDAYS(E20,F20,Holidays!$A$5:$A$9)</f>
        <v>5</v>
      </c>
      <c r="H20" s="19" t="s">
        <v>83</v>
      </c>
      <c r="I20" s="21" t="n">
        <v>46093</v>
      </c>
      <c r="J20" s="8" t="s">
        <v>19</v>
      </c>
      <c r="K20" s="19" t="s">
        <v>89</v>
      </c>
      <c r="L20" s="8" t="s">
        <v>113</v>
      </c>
    </row>
    <row r="21" customFormat="false" ht="15" hidden="false" customHeight="false" outlineLevel="0" collapsed="false">
      <c r="A21" s="14" t="s">
        <v>118</v>
      </c>
      <c r="B21" s="15" t="s">
        <v>49</v>
      </c>
      <c r="C21" s="4" t="str">
        <f aca="false">INDEX('Leave Balances'!$B$5:$B$24,MATCH(B21,'Leave Balances'!$A$5:$A$24,0))</f>
        <v>Benjamin Hayes</v>
      </c>
      <c r="D21" s="16" t="s">
        <v>94</v>
      </c>
      <c r="E21" s="17" t="n">
        <v>46125</v>
      </c>
      <c r="F21" s="17" t="n">
        <v>46126</v>
      </c>
      <c r="G21" s="14" t="n">
        <f aca="false">NETWORKDAYS(E21,F21,Holidays!$A$5:$A$9)</f>
        <v>2</v>
      </c>
      <c r="H21" s="15" t="s">
        <v>83</v>
      </c>
      <c r="I21" s="17" t="n">
        <v>46120</v>
      </c>
      <c r="J21" s="4" t="s">
        <v>47</v>
      </c>
      <c r="K21" s="15" t="s">
        <v>89</v>
      </c>
      <c r="L21" s="4" t="s">
        <v>119</v>
      </c>
    </row>
    <row r="22" customFormat="false" ht="15" hidden="false" customHeight="false" outlineLevel="0" collapsed="false">
      <c r="A22" s="18" t="s">
        <v>120</v>
      </c>
      <c r="B22" s="19" t="s">
        <v>57</v>
      </c>
      <c r="C22" s="8" t="str">
        <f aca="false">INDEX('Leave Balances'!$B$5:$B$24,MATCH(B22,'Leave Balances'!$A$5:$A$24,0))</f>
        <v>Henry Coleman</v>
      </c>
      <c r="D22" s="20" t="s">
        <v>88</v>
      </c>
      <c r="E22" s="21" t="n">
        <v>46126</v>
      </c>
      <c r="F22" s="21" t="n">
        <v>46129</v>
      </c>
      <c r="G22" s="18" t="n">
        <f aca="false">NETWORKDAYS(E22,F22,Holidays!$A$5:$A$9)</f>
        <v>4</v>
      </c>
      <c r="H22" s="19" t="s">
        <v>83</v>
      </c>
      <c r="I22" s="21" t="n">
        <v>46101</v>
      </c>
      <c r="J22" s="8" t="s">
        <v>19</v>
      </c>
      <c r="K22" s="19" t="s">
        <v>89</v>
      </c>
      <c r="L22" s="8" t="s">
        <v>121</v>
      </c>
    </row>
    <row r="23" customFormat="false" ht="15" hidden="false" customHeight="false" outlineLevel="0" collapsed="false">
      <c r="A23" s="14" t="s">
        <v>122</v>
      </c>
      <c r="B23" s="15" t="s">
        <v>25</v>
      </c>
      <c r="C23" s="4" t="str">
        <f aca="false">INDEX('Leave Balances'!$B$5:$B$24,MATCH(B23,'Leave Balances'!$A$5:$A$24,0))</f>
        <v>Marcus Reed</v>
      </c>
      <c r="D23" s="16" t="s">
        <v>94</v>
      </c>
      <c r="E23" s="17" t="n">
        <v>46132</v>
      </c>
      <c r="F23" s="17" t="n">
        <v>46132</v>
      </c>
      <c r="G23" s="14" t="n">
        <f aca="false">NETWORKDAYS(E23,F23,Holidays!$A$5:$A$9)</f>
        <v>1</v>
      </c>
      <c r="H23" s="15" t="s">
        <v>83</v>
      </c>
      <c r="I23" s="17" t="n">
        <v>46130</v>
      </c>
      <c r="J23" s="4" t="s">
        <v>19</v>
      </c>
      <c r="K23" s="15" t="s">
        <v>89</v>
      </c>
      <c r="L23" s="4" t="s">
        <v>123</v>
      </c>
    </row>
    <row r="24" customFormat="false" ht="15" hidden="false" customHeight="false" outlineLevel="0" collapsed="false">
      <c r="A24" s="18" t="s">
        <v>124</v>
      </c>
      <c r="B24" s="19" t="s">
        <v>62</v>
      </c>
      <c r="C24" s="8" t="str">
        <f aca="false">INDEX('Leave Balances'!$B$5:$B$24,MATCH(B24,'Leave Balances'!$A$5:$A$24,0))</f>
        <v>Jack Stewart</v>
      </c>
      <c r="D24" s="20" t="s">
        <v>82</v>
      </c>
      <c r="E24" s="21" t="n">
        <v>46133</v>
      </c>
      <c r="F24" s="21" t="n">
        <v>46134</v>
      </c>
      <c r="G24" s="18" t="n">
        <f aca="false">NETWORKDAYS(E24,F24,Holidays!$A$5:$A$9)</f>
        <v>2</v>
      </c>
      <c r="H24" s="19" t="s">
        <v>83</v>
      </c>
      <c r="I24" s="21" t="n">
        <v>46133</v>
      </c>
      <c r="J24" s="8" t="s">
        <v>26</v>
      </c>
      <c r="K24" s="19" t="s">
        <v>84</v>
      </c>
      <c r="L24" s="8" t="s">
        <v>85</v>
      </c>
    </row>
    <row r="25" customFormat="false" ht="15" hidden="false" customHeight="false" outlineLevel="0" collapsed="false">
      <c r="A25" s="14" t="s">
        <v>125</v>
      </c>
      <c r="B25" s="15" t="s">
        <v>28</v>
      </c>
      <c r="C25" s="4" t="str">
        <f aca="false">INDEX('Leave Balances'!$B$5:$B$24,MATCH(B25,'Leave Balances'!$A$5:$A$24,0))</f>
        <v>Olivia Hughes</v>
      </c>
      <c r="D25" s="16" t="s">
        <v>88</v>
      </c>
      <c r="E25" s="17" t="n">
        <v>46139</v>
      </c>
      <c r="F25" s="17" t="n">
        <v>46142</v>
      </c>
      <c r="G25" s="14" t="n">
        <f aca="false">NETWORKDAYS(E25,F25,Holidays!$A$5:$A$9)</f>
        <v>4</v>
      </c>
      <c r="H25" s="15" t="s">
        <v>83</v>
      </c>
      <c r="I25" s="17" t="n">
        <v>46111</v>
      </c>
      <c r="J25" s="4" t="s">
        <v>19</v>
      </c>
      <c r="K25" s="15" t="s">
        <v>89</v>
      </c>
      <c r="L25" s="4" t="s">
        <v>121</v>
      </c>
    </row>
    <row r="26" customFormat="false" ht="15" hidden="false" customHeight="false" outlineLevel="0" collapsed="false">
      <c r="A26" s="18" t="s">
        <v>126</v>
      </c>
      <c r="B26" s="19" t="s">
        <v>46</v>
      </c>
      <c r="C26" s="8" t="str">
        <f aca="false">INDEX('Leave Balances'!$B$5:$B$24,MATCH(B26,'Leave Balances'!$A$5:$A$24,0))</f>
        <v>Mia Turner</v>
      </c>
      <c r="D26" s="20" t="s">
        <v>94</v>
      </c>
      <c r="E26" s="21" t="n">
        <v>46146</v>
      </c>
      <c r="F26" s="21" t="n">
        <v>46146</v>
      </c>
      <c r="G26" s="18" t="n">
        <f aca="false">NETWORKDAYS(E26,F26,Holidays!$A$5:$A$9)</f>
        <v>1</v>
      </c>
      <c r="H26" s="19" t="s">
        <v>83</v>
      </c>
      <c r="I26" s="21" t="n">
        <v>46143</v>
      </c>
      <c r="J26" s="8" t="s">
        <v>19</v>
      </c>
      <c r="K26" s="19" t="s">
        <v>89</v>
      </c>
      <c r="L26" s="8" t="s">
        <v>110</v>
      </c>
    </row>
    <row r="27" customFormat="false" ht="15" hidden="false" customHeight="false" outlineLevel="0" collapsed="false">
      <c r="A27" s="14" t="s">
        <v>127</v>
      </c>
      <c r="B27" s="15" t="s">
        <v>65</v>
      </c>
      <c r="C27" s="4" t="str">
        <f aca="false">INDEX('Leave Balances'!$B$5:$B$24,MATCH(B27,'Leave Balances'!$A$5:$A$24,0))</f>
        <v>Ella Morgan</v>
      </c>
      <c r="D27" s="16" t="s">
        <v>88</v>
      </c>
      <c r="E27" s="17" t="n">
        <v>46146</v>
      </c>
      <c r="F27" s="17" t="n">
        <v>46148</v>
      </c>
      <c r="G27" s="14" t="n">
        <f aca="false">NETWORKDAYS(E27,F27,Holidays!$A$5:$A$9)</f>
        <v>3</v>
      </c>
      <c r="H27" s="15" t="s">
        <v>83</v>
      </c>
      <c r="I27" s="17" t="n">
        <v>46126</v>
      </c>
      <c r="J27" s="4" t="s">
        <v>47</v>
      </c>
      <c r="K27" s="15" t="s">
        <v>89</v>
      </c>
      <c r="L27" s="4" t="s">
        <v>128</v>
      </c>
    </row>
    <row r="28" customFormat="false" ht="15" hidden="false" customHeight="false" outlineLevel="0" collapsed="false">
      <c r="A28" s="18" t="s">
        <v>129</v>
      </c>
      <c r="B28" s="19" t="s">
        <v>22</v>
      </c>
      <c r="C28" s="8" t="str">
        <f aca="false">INDEX('Leave Balances'!$B$5:$B$24,MATCH(B28,'Leave Balances'!$A$5:$A$24,0))</f>
        <v>Sophia Bennett</v>
      </c>
      <c r="D28" s="20" t="s">
        <v>88</v>
      </c>
      <c r="E28" s="21" t="n">
        <v>46153</v>
      </c>
      <c r="F28" s="21" t="n">
        <v>46157</v>
      </c>
      <c r="G28" s="18" t="n">
        <f aca="false">NETWORKDAYS(E28,F28,Holidays!$A$5:$A$9)</f>
        <v>5</v>
      </c>
      <c r="H28" s="19" t="s">
        <v>83</v>
      </c>
      <c r="I28" s="21" t="n">
        <v>46132</v>
      </c>
      <c r="J28" s="8" t="s">
        <v>19</v>
      </c>
      <c r="K28" s="19" t="s">
        <v>89</v>
      </c>
      <c r="L28" s="8" t="s">
        <v>130</v>
      </c>
    </row>
    <row r="29" customFormat="false" ht="15" hidden="false" customHeight="false" outlineLevel="0" collapsed="false">
      <c r="A29" s="14" t="s">
        <v>131</v>
      </c>
      <c r="B29" s="15" t="s">
        <v>57</v>
      </c>
      <c r="C29" s="4" t="str">
        <f aca="false">INDEX('Leave Balances'!$B$5:$B$24,MATCH(B29,'Leave Balances'!$A$5:$A$24,0))</f>
        <v>Henry Coleman</v>
      </c>
      <c r="D29" s="16" t="s">
        <v>82</v>
      </c>
      <c r="E29" s="17" t="n">
        <v>46154</v>
      </c>
      <c r="F29" s="17" t="n">
        <v>46155</v>
      </c>
      <c r="G29" s="14" t="n">
        <f aca="false">NETWORKDAYS(E29,F29,Holidays!$A$5:$A$9)</f>
        <v>2</v>
      </c>
      <c r="H29" s="15" t="s">
        <v>83</v>
      </c>
      <c r="I29" s="17" t="n">
        <v>46154</v>
      </c>
      <c r="J29" s="4" t="s">
        <v>19</v>
      </c>
      <c r="K29" s="15" t="s">
        <v>84</v>
      </c>
      <c r="L29" s="4" t="s">
        <v>97</v>
      </c>
    </row>
    <row r="30" customFormat="false" ht="15" hidden="false" customHeight="false" outlineLevel="0" collapsed="false">
      <c r="A30" s="18" t="s">
        <v>132</v>
      </c>
      <c r="B30" s="19" t="s">
        <v>37</v>
      </c>
      <c r="C30" s="8" t="str">
        <f aca="false">INDEX('Leave Balances'!$B$5:$B$24,MATCH(B30,'Leave Balances'!$A$5:$A$24,0))</f>
        <v>Ava Mitchell</v>
      </c>
      <c r="D30" s="20" t="s">
        <v>88</v>
      </c>
      <c r="E30" s="21" t="n">
        <v>46160</v>
      </c>
      <c r="F30" s="21" t="n">
        <v>46164</v>
      </c>
      <c r="G30" s="18" t="n">
        <f aca="false">NETWORKDAYS(E30,F30,Holidays!$A$5:$A$9)</f>
        <v>5</v>
      </c>
      <c r="H30" s="19" t="s">
        <v>83</v>
      </c>
      <c r="I30" s="21" t="n">
        <v>46130</v>
      </c>
      <c r="J30" s="8" t="s">
        <v>26</v>
      </c>
      <c r="K30" s="19" t="s">
        <v>89</v>
      </c>
      <c r="L30" s="8" t="s">
        <v>90</v>
      </c>
    </row>
    <row r="31" customFormat="false" ht="15" hidden="false" customHeight="false" outlineLevel="0" collapsed="false">
      <c r="A31" s="14" t="s">
        <v>133</v>
      </c>
      <c r="B31" s="15" t="s">
        <v>51</v>
      </c>
      <c r="C31" s="4" t="str">
        <f aca="false">INDEX('Leave Balances'!$B$5:$B$24,MATCH(B31,'Leave Balances'!$A$5:$A$24,0))</f>
        <v>Charlotte Price</v>
      </c>
      <c r="D31" s="16" t="s">
        <v>88</v>
      </c>
      <c r="E31" s="17" t="n">
        <v>46167</v>
      </c>
      <c r="F31" s="17" t="n">
        <v>46171</v>
      </c>
      <c r="G31" s="14" t="n">
        <f aca="false">NETWORKDAYS(E31,F31,Holidays!$A$5:$A$9)</f>
        <v>5</v>
      </c>
      <c r="H31" s="15" t="s">
        <v>83</v>
      </c>
      <c r="I31" s="17" t="n">
        <v>46137</v>
      </c>
      <c r="J31" s="4" t="s">
        <v>23</v>
      </c>
      <c r="K31" s="15" t="s">
        <v>89</v>
      </c>
      <c r="L31" s="4" t="s">
        <v>134</v>
      </c>
    </row>
    <row r="32" customFormat="false" ht="15" hidden="false" customHeight="false" outlineLevel="0" collapsed="false">
      <c r="A32" s="18" t="s">
        <v>135</v>
      </c>
      <c r="B32" s="19" t="s">
        <v>28</v>
      </c>
      <c r="C32" s="8" t="str">
        <f aca="false">INDEX('Leave Balances'!$B$5:$B$24,MATCH(B32,'Leave Balances'!$A$5:$A$24,0))</f>
        <v>Olivia Hughes</v>
      </c>
      <c r="D32" s="20" t="s">
        <v>82</v>
      </c>
      <c r="E32" s="21" t="n">
        <v>46176</v>
      </c>
      <c r="F32" s="21" t="n">
        <v>46178</v>
      </c>
      <c r="G32" s="18" t="n">
        <f aca="false">NETWORKDAYS(E32,F32,Holidays!$A$5:$A$9)</f>
        <v>3</v>
      </c>
      <c r="H32" s="19" t="s">
        <v>83</v>
      </c>
      <c r="I32" s="21" t="n">
        <v>46176</v>
      </c>
      <c r="J32" s="8" t="s">
        <v>19</v>
      </c>
      <c r="K32" s="19" t="s">
        <v>103</v>
      </c>
      <c r="L32" s="8" t="s">
        <v>136</v>
      </c>
    </row>
    <row r="33" customFormat="false" ht="15" hidden="false" customHeight="false" outlineLevel="0" collapsed="false">
      <c r="A33" s="14" t="s">
        <v>137</v>
      </c>
      <c r="B33" s="15" t="s">
        <v>62</v>
      </c>
      <c r="C33" s="4" t="str">
        <f aca="false">INDEX('Leave Balances'!$B$5:$B$24,MATCH(B33,'Leave Balances'!$A$5:$A$24,0))</f>
        <v>Jack Stewart</v>
      </c>
      <c r="D33" s="16" t="s">
        <v>94</v>
      </c>
      <c r="E33" s="17" t="n">
        <v>46178</v>
      </c>
      <c r="F33" s="17" t="n">
        <v>46178</v>
      </c>
      <c r="G33" s="14" t="n">
        <f aca="false">NETWORKDAYS(E33,F33,Holidays!$A$5:$A$9)</f>
        <v>1</v>
      </c>
      <c r="H33" s="15" t="s">
        <v>83</v>
      </c>
      <c r="I33" s="17" t="n">
        <v>46176</v>
      </c>
      <c r="J33" s="4" t="s">
        <v>26</v>
      </c>
      <c r="K33" s="15" t="s">
        <v>89</v>
      </c>
      <c r="L33" s="4" t="s">
        <v>110</v>
      </c>
    </row>
    <row r="34" customFormat="false" ht="15" hidden="false" customHeight="false" outlineLevel="0" collapsed="false">
      <c r="A34" s="18" t="s">
        <v>138</v>
      </c>
      <c r="B34" s="19" t="s">
        <v>44</v>
      </c>
      <c r="C34" s="8" t="str">
        <f aca="false">INDEX('Leave Balances'!$B$5:$B$24,MATCH(B34,'Leave Balances'!$A$5:$A$24,0))</f>
        <v>James Ward</v>
      </c>
      <c r="D34" s="20" t="s">
        <v>88</v>
      </c>
      <c r="E34" s="21" t="n">
        <v>46181</v>
      </c>
      <c r="F34" s="21" t="n">
        <v>46185</v>
      </c>
      <c r="G34" s="18" t="n">
        <f aca="false">NETWORKDAYS(E34,F34,Holidays!$A$5:$A$9)</f>
        <v>5</v>
      </c>
      <c r="H34" s="19" t="s">
        <v>83</v>
      </c>
      <c r="I34" s="21" t="n">
        <v>46156</v>
      </c>
      <c r="J34" s="8" t="s">
        <v>40</v>
      </c>
      <c r="K34" s="19" t="s">
        <v>89</v>
      </c>
      <c r="L34" s="8" t="s">
        <v>108</v>
      </c>
    </row>
    <row r="35" customFormat="false" ht="15" hidden="false" customHeight="false" outlineLevel="0" collapsed="false">
      <c r="A35" s="14" t="s">
        <v>139</v>
      </c>
      <c r="B35" s="15" t="s">
        <v>42</v>
      </c>
      <c r="C35" s="4" t="str">
        <f aca="false">INDEX('Leave Balances'!$B$5:$B$24,MATCH(B35,'Leave Balances'!$A$5:$A$24,0))</f>
        <v>Emma Collins</v>
      </c>
      <c r="D35" s="16" t="s">
        <v>94</v>
      </c>
      <c r="E35" s="17" t="n">
        <v>46188</v>
      </c>
      <c r="F35" s="17" t="n">
        <v>46188</v>
      </c>
      <c r="G35" s="14" t="n">
        <f aca="false">NETWORKDAYS(E35,F35,Holidays!$A$5:$A$9)</f>
        <v>1</v>
      </c>
      <c r="H35" s="15" t="s">
        <v>83</v>
      </c>
      <c r="I35" s="17" t="n">
        <v>46186</v>
      </c>
      <c r="J35" s="4" t="s">
        <v>40</v>
      </c>
      <c r="K35" s="15" t="s">
        <v>89</v>
      </c>
      <c r="L35" s="4" t="s">
        <v>110</v>
      </c>
    </row>
    <row r="36" customFormat="false" ht="15" hidden="false" customHeight="false" outlineLevel="0" collapsed="false">
      <c r="A36" s="18" t="s">
        <v>140</v>
      </c>
      <c r="B36" s="19" t="s">
        <v>33</v>
      </c>
      <c r="C36" s="8" t="str">
        <f aca="false">INDEX('Leave Balances'!$B$5:$B$24,MATCH(B36,'Leave Balances'!$A$5:$A$24,0))</f>
        <v>Isabella Foster</v>
      </c>
      <c r="D36" s="20" t="s">
        <v>88</v>
      </c>
      <c r="E36" s="21" t="n">
        <v>46195</v>
      </c>
      <c r="F36" s="21" t="n">
        <v>46199</v>
      </c>
      <c r="G36" s="18" t="n">
        <f aca="false">NETWORKDAYS(E36,F36,Holidays!$A$5:$A$9)</f>
        <v>5</v>
      </c>
      <c r="H36" s="19" t="s">
        <v>83</v>
      </c>
      <c r="I36" s="21" t="n">
        <v>46165</v>
      </c>
      <c r="J36" s="8" t="s">
        <v>26</v>
      </c>
      <c r="K36" s="19" t="s">
        <v>89</v>
      </c>
      <c r="L36" s="8" t="s">
        <v>108</v>
      </c>
    </row>
    <row r="37" customFormat="false" ht="15" hidden="false" customHeight="false" outlineLevel="0" collapsed="false">
      <c r="A37" s="14" t="s">
        <v>141</v>
      </c>
      <c r="B37" s="15" t="s">
        <v>55</v>
      </c>
      <c r="C37" s="4" t="str">
        <f aca="false">INDEX('Leave Balances'!$B$5:$B$24,MATCH(B37,'Leave Balances'!$A$5:$A$24,0))</f>
        <v>Amelia Russell</v>
      </c>
      <c r="D37" s="16" t="s">
        <v>88</v>
      </c>
      <c r="E37" s="17" t="n">
        <v>46202</v>
      </c>
      <c r="F37" s="17" t="n">
        <v>46203</v>
      </c>
      <c r="G37" s="14" t="n">
        <f aca="false">NETWORKDAYS(E37,F37,Holidays!$A$5:$A$9)</f>
        <v>2</v>
      </c>
      <c r="H37" s="15" t="s">
        <v>83</v>
      </c>
      <c r="I37" s="17" t="n">
        <v>46188</v>
      </c>
      <c r="J37" s="4" t="s">
        <v>29</v>
      </c>
      <c r="K37" s="15" t="s">
        <v>89</v>
      </c>
      <c r="L37" s="4" t="s">
        <v>110</v>
      </c>
    </row>
    <row r="38" customFormat="false" ht="15" hidden="false" customHeight="false" outlineLevel="0" collapsed="false">
      <c r="A38" s="18" t="s">
        <v>142</v>
      </c>
      <c r="B38" s="19" t="s">
        <v>35</v>
      </c>
      <c r="C38" s="8" t="str">
        <f aca="false">INDEX('Leave Balances'!$B$5:$B$24,MATCH(B38,'Leave Balances'!$A$5:$A$24,0))</f>
        <v>Liam Sanders</v>
      </c>
      <c r="D38" s="20" t="s">
        <v>88</v>
      </c>
      <c r="E38" s="21" t="n">
        <v>46209</v>
      </c>
      <c r="F38" s="21" t="n">
        <v>46213</v>
      </c>
      <c r="G38" s="18" t="n">
        <f aca="false">NETWORKDAYS(E38,F38,Holidays!$A$5:$A$9)</f>
        <v>5</v>
      </c>
      <c r="H38" s="19" t="s">
        <v>83</v>
      </c>
      <c r="I38" s="21" t="n">
        <v>46181</v>
      </c>
      <c r="J38" s="8" t="s">
        <v>26</v>
      </c>
      <c r="K38" s="19" t="s">
        <v>89</v>
      </c>
      <c r="L38" s="8" t="s">
        <v>108</v>
      </c>
    </row>
    <row r="39" customFormat="false" ht="15" hidden="false" customHeight="false" outlineLevel="0" collapsed="false">
      <c r="A39" s="14" t="s">
        <v>143</v>
      </c>
      <c r="B39" s="15" t="s">
        <v>49</v>
      </c>
      <c r="C39" s="4" t="str">
        <f aca="false">INDEX('Leave Balances'!$B$5:$B$24,MATCH(B39,'Leave Balances'!$A$5:$A$24,0))</f>
        <v>Benjamin Hayes</v>
      </c>
      <c r="D39" s="16" t="s">
        <v>88</v>
      </c>
      <c r="E39" s="17" t="n">
        <v>46216</v>
      </c>
      <c r="F39" s="17" t="n">
        <v>46220</v>
      </c>
      <c r="G39" s="14" t="n">
        <f aca="false">NETWORKDAYS(E39,F39,Holidays!$A$5:$A$9)</f>
        <v>5</v>
      </c>
      <c r="H39" s="15" t="s">
        <v>83</v>
      </c>
      <c r="I39" s="17" t="n">
        <v>46186</v>
      </c>
      <c r="J39" s="4" t="s">
        <v>47</v>
      </c>
      <c r="K39" s="15" t="s">
        <v>89</v>
      </c>
      <c r="L39" s="4" t="s">
        <v>108</v>
      </c>
    </row>
    <row r="40" customFormat="false" ht="15" hidden="false" customHeight="false" outlineLevel="0" collapsed="false">
      <c r="A40" s="18" t="s">
        <v>144</v>
      </c>
      <c r="B40" s="19" t="s">
        <v>25</v>
      </c>
      <c r="C40" s="8" t="str">
        <f aca="false">INDEX('Leave Balances'!$B$5:$B$24,MATCH(B40,'Leave Balances'!$A$5:$A$24,0))</f>
        <v>Marcus Reed</v>
      </c>
      <c r="D40" s="20" t="s">
        <v>88</v>
      </c>
      <c r="E40" s="21" t="n">
        <v>46223</v>
      </c>
      <c r="F40" s="21" t="n">
        <v>46227</v>
      </c>
      <c r="G40" s="18" t="n">
        <f aca="false">NETWORKDAYS(E40,F40,Holidays!$A$5:$A$9)</f>
        <v>5</v>
      </c>
      <c r="H40" s="19" t="s">
        <v>83</v>
      </c>
      <c r="I40" s="21" t="n">
        <v>46188</v>
      </c>
      <c r="J40" s="8" t="s">
        <v>19</v>
      </c>
      <c r="K40" s="19" t="s">
        <v>89</v>
      </c>
      <c r="L40" s="8" t="s">
        <v>134</v>
      </c>
    </row>
    <row r="41" customFormat="false" ht="15" hidden="false" customHeight="false" outlineLevel="0" collapsed="false">
      <c r="A41" s="14" t="s">
        <v>145</v>
      </c>
      <c r="B41" s="15" t="s">
        <v>57</v>
      </c>
      <c r="C41" s="4" t="str">
        <f aca="false">INDEX('Leave Balances'!$B$5:$B$24,MATCH(B41,'Leave Balances'!$A$5:$A$24,0))</f>
        <v>Henry Coleman</v>
      </c>
      <c r="D41" s="16" t="s">
        <v>94</v>
      </c>
      <c r="E41" s="17" t="n">
        <v>46225</v>
      </c>
      <c r="F41" s="17" t="n">
        <v>46225</v>
      </c>
      <c r="G41" s="14" t="n">
        <f aca="false">NETWORKDAYS(E41,F41,Holidays!$A$5:$A$9)</f>
        <v>1</v>
      </c>
      <c r="H41" s="15" t="s">
        <v>83</v>
      </c>
      <c r="I41" s="17" t="n">
        <v>46223</v>
      </c>
      <c r="J41" s="4" t="s">
        <v>19</v>
      </c>
      <c r="K41" s="15" t="s">
        <v>89</v>
      </c>
      <c r="L41" s="4" t="s">
        <v>110</v>
      </c>
    </row>
    <row r="42" customFormat="false" ht="15" hidden="false" customHeight="false" outlineLevel="0" collapsed="false">
      <c r="A42" s="18" t="s">
        <v>146</v>
      </c>
      <c r="B42" s="19" t="s">
        <v>44</v>
      </c>
      <c r="C42" s="8" t="str">
        <f aca="false">INDEX('Leave Balances'!$B$5:$B$24,MATCH(B42,'Leave Balances'!$A$5:$A$24,0))</f>
        <v>James Ward</v>
      </c>
      <c r="D42" s="20" t="s">
        <v>88</v>
      </c>
      <c r="E42" s="21" t="n">
        <v>46230</v>
      </c>
      <c r="F42" s="21" t="n">
        <v>46234</v>
      </c>
      <c r="G42" s="18" t="n">
        <f aca="false">NETWORKDAYS(E42,F42,Holidays!$A$5:$A$9)</f>
        <v>5</v>
      </c>
      <c r="H42" s="19" t="s">
        <v>147</v>
      </c>
      <c r="I42" s="21" t="n">
        <v>46210</v>
      </c>
      <c r="J42" s="8" t="s">
        <v>40</v>
      </c>
      <c r="K42" s="19" t="s">
        <v>89</v>
      </c>
      <c r="L42" s="8" t="s">
        <v>148</v>
      </c>
    </row>
    <row r="43" customFormat="false" ht="15" hidden="false" customHeight="false" outlineLevel="0" collapsed="false">
      <c r="A43" s="14" t="s">
        <v>149</v>
      </c>
      <c r="B43" s="15" t="s">
        <v>62</v>
      </c>
      <c r="C43" s="4" t="str">
        <f aca="false">INDEX('Leave Balances'!$B$5:$B$24,MATCH(B43,'Leave Balances'!$A$5:$A$24,0))</f>
        <v>Jack Stewart</v>
      </c>
      <c r="D43" s="16" t="s">
        <v>88</v>
      </c>
      <c r="E43" s="17" t="n">
        <v>46230</v>
      </c>
      <c r="F43" s="17" t="n">
        <v>46232</v>
      </c>
      <c r="G43" s="14" t="n">
        <f aca="false">NETWORKDAYS(E43,F43,Holidays!$A$5:$A$9)</f>
        <v>3</v>
      </c>
      <c r="H43" s="15" t="s">
        <v>83</v>
      </c>
      <c r="I43" s="17" t="n">
        <v>46210</v>
      </c>
      <c r="J43" s="4" t="s">
        <v>26</v>
      </c>
      <c r="K43" s="15" t="s">
        <v>89</v>
      </c>
      <c r="L43" s="4" t="s">
        <v>128</v>
      </c>
    </row>
    <row r="44" customFormat="false" ht="15" hidden="false" customHeight="false" outlineLevel="0" collapsed="false">
      <c r="A44" s="18" t="s">
        <v>150</v>
      </c>
      <c r="B44" s="19" t="s">
        <v>53</v>
      </c>
      <c r="C44" s="8" t="str">
        <f aca="false">INDEX('Leave Balances'!$B$5:$B$24,MATCH(B44,'Leave Balances'!$A$5:$A$24,0))</f>
        <v>Lucas Gray</v>
      </c>
      <c r="D44" s="20" t="s">
        <v>88</v>
      </c>
      <c r="E44" s="21" t="n">
        <v>46237</v>
      </c>
      <c r="F44" s="21" t="n">
        <v>46241</v>
      </c>
      <c r="G44" s="18" t="n">
        <f aca="false">NETWORKDAYS(E44,F44,Holidays!$A$5:$A$9)</f>
        <v>5</v>
      </c>
      <c r="H44" s="19" t="s">
        <v>83</v>
      </c>
      <c r="I44" s="21" t="n">
        <v>46209</v>
      </c>
      <c r="J44" s="8" t="s">
        <v>23</v>
      </c>
      <c r="K44" s="19" t="s">
        <v>89</v>
      </c>
      <c r="L44" s="8" t="s">
        <v>108</v>
      </c>
    </row>
    <row r="45" customFormat="false" ht="15" hidden="false" customHeight="false" outlineLevel="0" collapsed="false">
      <c r="A45" s="14" t="s">
        <v>151</v>
      </c>
      <c r="B45" s="15" t="s">
        <v>33</v>
      </c>
      <c r="C45" s="4" t="str">
        <f aca="false">INDEX('Leave Balances'!$B$5:$B$24,MATCH(B45,'Leave Balances'!$A$5:$A$24,0))</f>
        <v>Isabella Foster</v>
      </c>
      <c r="D45" s="16" t="s">
        <v>82</v>
      </c>
      <c r="E45" s="17" t="n">
        <v>46239</v>
      </c>
      <c r="F45" s="17" t="n">
        <v>46239</v>
      </c>
      <c r="G45" s="14" t="n">
        <f aca="false">NETWORKDAYS(E45,F45,Holidays!$A$5:$A$9)</f>
        <v>1</v>
      </c>
      <c r="H45" s="15" t="s">
        <v>83</v>
      </c>
      <c r="I45" s="17" t="n">
        <v>46239</v>
      </c>
      <c r="J45" s="4" t="s">
        <v>26</v>
      </c>
      <c r="K45" s="15" t="s">
        <v>84</v>
      </c>
      <c r="L45" s="4" t="s">
        <v>152</v>
      </c>
    </row>
    <row r="46" customFormat="false" ht="15" hidden="false" customHeight="false" outlineLevel="0" collapsed="false">
      <c r="A46" s="18" t="s">
        <v>153</v>
      </c>
      <c r="B46" s="19" t="s">
        <v>39</v>
      </c>
      <c r="C46" s="8" t="str">
        <f aca="false">INDEX('Leave Balances'!$B$5:$B$24,MATCH(B46,'Leave Balances'!$A$5:$A$24,0))</f>
        <v>Noah Parker</v>
      </c>
      <c r="D46" s="20" t="s">
        <v>82</v>
      </c>
      <c r="E46" s="21" t="n">
        <v>46244</v>
      </c>
      <c r="F46" s="21" t="n">
        <v>46246</v>
      </c>
      <c r="G46" s="18" t="n">
        <f aca="false">NETWORKDAYS(E46,F46,Holidays!$A$5:$A$9)</f>
        <v>3</v>
      </c>
      <c r="H46" s="19" t="s">
        <v>83</v>
      </c>
      <c r="I46" s="21" t="n">
        <v>46244</v>
      </c>
      <c r="J46" s="8" t="s">
        <v>19</v>
      </c>
      <c r="K46" s="19" t="s">
        <v>103</v>
      </c>
      <c r="L46" s="8" t="s">
        <v>154</v>
      </c>
    </row>
    <row r="47" customFormat="false" ht="15" hidden="false" customHeight="false" outlineLevel="0" collapsed="false">
      <c r="A47" s="14" t="s">
        <v>155</v>
      </c>
      <c r="B47" s="15" t="s">
        <v>60</v>
      </c>
      <c r="C47" s="4" t="str">
        <f aca="false">INDEX('Leave Balances'!$B$5:$B$24,MATCH(B47,'Leave Balances'!$A$5:$A$24,0))</f>
        <v>Harper Jenkins</v>
      </c>
      <c r="D47" s="16" t="s">
        <v>94</v>
      </c>
      <c r="E47" s="17" t="n">
        <v>46248</v>
      </c>
      <c r="F47" s="17" t="n">
        <v>46248</v>
      </c>
      <c r="G47" s="14" t="n">
        <f aca="false">NETWORKDAYS(E47,F47,Holidays!$A$5:$A$9)</f>
        <v>1</v>
      </c>
      <c r="H47" s="15" t="s">
        <v>83</v>
      </c>
      <c r="I47" s="17" t="n">
        <v>46245</v>
      </c>
      <c r="J47" s="4" t="s">
        <v>58</v>
      </c>
      <c r="K47" s="15" t="s">
        <v>89</v>
      </c>
      <c r="L47" s="4" t="s">
        <v>110</v>
      </c>
    </row>
    <row r="48" customFormat="false" ht="15" hidden="false" customHeight="false" outlineLevel="0" collapsed="false">
      <c r="A48" s="18" t="s">
        <v>156</v>
      </c>
      <c r="B48" s="19" t="s">
        <v>18</v>
      </c>
      <c r="C48" s="8" t="str">
        <f aca="false">INDEX('Leave Balances'!$B$5:$B$24,MATCH(B48,'Leave Balances'!$A$5:$A$24,0))</f>
        <v>Daniel Carter</v>
      </c>
      <c r="D48" s="20" t="s">
        <v>88</v>
      </c>
      <c r="E48" s="21" t="n">
        <v>46251</v>
      </c>
      <c r="F48" s="21" t="n">
        <v>46255</v>
      </c>
      <c r="G48" s="18" t="n">
        <f aca="false">NETWORKDAYS(E48,F48,Holidays!$A$5:$A$9)</f>
        <v>5</v>
      </c>
      <c r="H48" s="19" t="s">
        <v>83</v>
      </c>
      <c r="I48" s="21" t="n">
        <v>46211</v>
      </c>
      <c r="J48" s="8" t="s">
        <v>112</v>
      </c>
      <c r="K48" s="19" t="s">
        <v>89</v>
      </c>
      <c r="L48" s="8" t="s">
        <v>157</v>
      </c>
    </row>
    <row r="49" customFormat="false" ht="15" hidden="false" customHeight="false" outlineLevel="0" collapsed="false">
      <c r="A49" s="14" t="s">
        <v>158</v>
      </c>
      <c r="B49" s="15" t="s">
        <v>42</v>
      </c>
      <c r="C49" s="4" t="str">
        <f aca="false">INDEX('Leave Balances'!$B$5:$B$24,MATCH(B49,'Leave Balances'!$A$5:$A$24,0))</f>
        <v>Emma Collins</v>
      </c>
      <c r="D49" s="16" t="s">
        <v>88</v>
      </c>
      <c r="E49" s="17" t="n">
        <v>46258</v>
      </c>
      <c r="F49" s="17" t="n">
        <v>46262</v>
      </c>
      <c r="G49" s="14" t="n">
        <f aca="false">NETWORKDAYS(E49,F49,Holidays!$A$5:$A$9)</f>
        <v>5</v>
      </c>
      <c r="H49" s="15" t="s">
        <v>83</v>
      </c>
      <c r="I49" s="17" t="n">
        <v>46228</v>
      </c>
      <c r="J49" s="4" t="s">
        <v>40</v>
      </c>
      <c r="K49" s="15" t="s">
        <v>89</v>
      </c>
      <c r="L49" s="4" t="s">
        <v>108</v>
      </c>
    </row>
    <row r="50" customFormat="false" ht="15" hidden="false" customHeight="false" outlineLevel="0" collapsed="false">
      <c r="A50" s="18" t="s">
        <v>159</v>
      </c>
      <c r="B50" s="19" t="s">
        <v>62</v>
      </c>
      <c r="C50" s="8" t="str">
        <f aca="false">INDEX('Leave Balances'!$B$5:$B$24,MATCH(B50,'Leave Balances'!$A$5:$A$24,0))</f>
        <v>Jack Stewart</v>
      </c>
      <c r="D50" s="20" t="s">
        <v>88</v>
      </c>
      <c r="E50" s="21" t="n">
        <v>46265</v>
      </c>
      <c r="F50" s="21" t="n">
        <v>46265</v>
      </c>
      <c r="G50" s="18" t="n">
        <f aca="false">NETWORKDAYS(E50,F50,Holidays!$A$5:$A$9)</f>
        <v>1</v>
      </c>
      <c r="H50" s="19" t="s">
        <v>83</v>
      </c>
      <c r="I50" s="21" t="n">
        <v>46260</v>
      </c>
      <c r="J50" s="8" t="s">
        <v>26</v>
      </c>
      <c r="K50" s="19" t="s">
        <v>89</v>
      </c>
      <c r="L50" s="8" t="s">
        <v>110</v>
      </c>
    </row>
    <row r="51" customFormat="false" ht="15" hidden="false" customHeight="false" outlineLevel="0" collapsed="false">
      <c r="A51" s="14" t="s">
        <v>160</v>
      </c>
      <c r="B51" s="15" t="s">
        <v>35</v>
      </c>
      <c r="C51" s="4" t="str">
        <f aca="false">INDEX('Leave Balances'!$B$5:$B$24,MATCH(B51,'Leave Balances'!$A$5:$A$24,0))</f>
        <v>Liam Sanders</v>
      </c>
      <c r="D51" s="16" t="s">
        <v>82</v>
      </c>
      <c r="E51" s="17" t="n">
        <v>46267</v>
      </c>
      <c r="F51" s="17" t="n">
        <v>46269</v>
      </c>
      <c r="G51" s="14" t="n">
        <f aca="false">NETWORKDAYS(E51,F51,Holidays!$A$5:$A$9)</f>
        <v>3</v>
      </c>
      <c r="H51" s="15" t="s">
        <v>83</v>
      </c>
      <c r="I51" s="17" t="n">
        <v>46267</v>
      </c>
      <c r="J51" s="4" t="s">
        <v>26</v>
      </c>
      <c r="K51" s="15" t="s">
        <v>103</v>
      </c>
      <c r="L51" s="4" t="s">
        <v>161</v>
      </c>
    </row>
    <row r="52" customFormat="false" ht="15" hidden="false" customHeight="false" outlineLevel="0" collapsed="false">
      <c r="A52" s="18" t="s">
        <v>162</v>
      </c>
      <c r="B52" s="19" t="s">
        <v>55</v>
      </c>
      <c r="C52" s="8" t="str">
        <f aca="false">INDEX('Leave Balances'!$B$5:$B$24,MATCH(B52,'Leave Balances'!$A$5:$A$24,0))</f>
        <v>Amelia Russell</v>
      </c>
      <c r="D52" s="20" t="s">
        <v>88</v>
      </c>
      <c r="E52" s="21" t="n">
        <v>46272</v>
      </c>
      <c r="F52" s="21" t="n">
        <v>46276</v>
      </c>
      <c r="G52" s="18" t="n">
        <f aca="false">NETWORKDAYS(E52,F52,Holidays!$A$5:$A$9)</f>
        <v>5</v>
      </c>
      <c r="H52" s="19" t="s">
        <v>83</v>
      </c>
      <c r="I52" s="21" t="n">
        <v>46242</v>
      </c>
      <c r="J52" s="8" t="s">
        <v>29</v>
      </c>
      <c r="K52" s="19" t="s">
        <v>89</v>
      </c>
      <c r="L52" s="8" t="s">
        <v>108</v>
      </c>
    </row>
    <row r="53" customFormat="false" ht="15" hidden="false" customHeight="false" outlineLevel="0" collapsed="false">
      <c r="A53" s="14" t="s">
        <v>163</v>
      </c>
      <c r="B53" s="15" t="s">
        <v>46</v>
      </c>
      <c r="C53" s="4" t="str">
        <f aca="false">INDEX('Leave Balances'!$B$5:$B$24,MATCH(B53,'Leave Balances'!$A$5:$A$24,0))</f>
        <v>Mia Turner</v>
      </c>
      <c r="D53" s="16" t="s">
        <v>82</v>
      </c>
      <c r="E53" s="17" t="n">
        <v>46274</v>
      </c>
      <c r="F53" s="17" t="n">
        <v>46275</v>
      </c>
      <c r="G53" s="14" t="n">
        <f aca="false">NETWORKDAYS(E53,F53,Holidays!$A$5:$A$9)</f>
        <v>2</v>
      </c>
      <c r="H53" s="15" t="s">
        <v>83</v>
      </c>
      <c r="I53" s="17" t="n">
        <v>46274</v>
      </c>
      <c r="J53" s="4" t="s">
        <v>19</v>
      </c>
      <c r="K53" s="15" t="s">
        <v>84</v>
      </c>
      <c r="L53" s="4" t="s">
        <v>164</v>
      </c>
    </row>
    <row r="54" customFormat="false" ht="15" hidden="false" customHeight="false" outlineLevel="0" collapsed="false">
      <c r="A54" s="18" t="s">
        <v>165</v>
      </c>
      <c r="B54" s="19" t="s">
        <v>22</v>
      </c>
      <c r="C54" s="8" t="str">
        <f aca="false">INDEX('Leave Balances'!$B$5:$B$24,MATCH(B54,'Leave Balances'!$A$5:$A$24,0))</f>
        <v>Sophia Bennett</v>
      </c>
      <c r="D54" s="20" t="s">
        <v>94</v>
      </c>
      <c r="E54" s="21" t="n">
        <v>46279</v>
      </c>
      <c r="F54" s="21" t="n">
        <v>46279</v>
      </c>
      <c r="G54" s="18" t="n">
        <f aca="false">NETWORKDAYS(E54,F54,Holidays!$A$5:$A$9)</f>
        <v>1</v>
      </c>
      <c r="H54" s="19" t="s">
        <v>83</v>
      </c>
      <c r="I54" s="21" t="n">
        <v>46276</v>
      </c>
      <c r="J54" s="8" t="s">
        <v>19</v>
      </c>
      <c r="K54" s="19" t="s">
        <v>89</v>
      </c>
      <c r="L54" s="8" t="s">
        <v>166</v>
      </c>
    </row>
    <row r="55" customFormat="false" ht="15" hidden="false" customHeight="false" outlineLevel="0" collapsed="false">
      <c r="A55" s="14" t="s">
        <v>167</v>
      </c>
      <c r="B55" s="15" t="s">
        <v>51</v>
      </c>
      <c r="C55" s="4" t="str">
        <f aca="false">INDEX('Leave Balances'!$B$5:$B$24,MATCH(B55,'Leave Balances'!$A$5:$A$24,0))</f>
        <v>Charlotte Price</v>
      </c>
      <c r="D55" s="16" t="s">
        <v>94</v>
      </c>
      <c r="E55" s="17" t="n">
        <v>46282</v>
      </c>
      <c r="F55" s="17" t="n">
        <v>46282</v>
      </c>
      <c r="G55" s="14" t="n">
        <f aca="false">NETWORKDAYS(E55,F55,Holidays!$A$5:$A$9)</f>
        <v>1</v>
      </c>
      <c r="H55" s="15" t="s">
        <v>83</v>
      </c>
      <c r="I55" s="17" t="n">
        <v>46280</v>
      </c>
      <c r="J55" s="4" t="s">
        <v>23</v>
      </c>
      <c r="K55" s="15" t="s">
        <v>89</v>
      </c>
      <c r="L55" s="4" t="s">
        <v>110</v>
      </c>
    </row>
    <row r="56" customFormat="false" ht="15" hidden="false" customHeight="false" outlineLevel="0" collapsed="false">
      <c r="A56" s="18" t="s">
        <v>168</v>
      </c>
      <c r="B56" s="19" t="s">
        <v>31</v>
      </c>
      <c r="C56" s="8" t="str">
        <f aca="false">INDEX('Leave Balances'!$B$5:$B$24,MATCH(B56,'Leave Balances'!$A$5:$A$24,0))</f>
        <v>Ethan Brooks</v>
      </c>
      <c r="D56" s="20" t="s">
        <v>88</v>
      </c>
      <c r="E56" s="21" t="n">
        <v>46286</v>
      </c>
      <c r="F56" s="21" t="n">
        <v>46290</v>
      </c>
      <c r="G56" s="18" t="n">
        <f aca="false">NETWORKDAYS(E56,F56,Holidays!$A$5:$A$9)</f>
        <v>5</v>
      </c>
      <c r="H56" s="19" t="s">
        <v>83</v>
      </c>
      <c r="I56" s="21" t="n">
        <v>46261</v>
      </c>
      <c r="J56" s="8" t="s">
        <v>26</v>
      </c>
      <c r="K56" s="19" t="s">
        <v>89</v>
      </c>
      <c r="L56" s="8" t="s">
        <v>169</v>
      </c>
    </row>
    <row r="57" customFormat="false" ht="15" hidden="false" customHeight="false" outlineLevel="0" collapsed="false">
      <c r="A57" s="14" t="s">
        <v>170</v>
      </c>
      <c r="B57" s="15" t="s">
        <v>65</v>
      </c>
      <c r="C57" s="4" t="str">
        <f aca="false">INDEX('Leave Balances'!$B$5:$B$24,MATCH(B57,'Leave Balances'!$A$5:$A$24,0))</f>
        <v>Ella Morgan</v>
      </c>
      <c r="D57" s="16" t="s">
        <v>82</v>
      </c>
      <c r="E57" s="17" t="n">
        <v>46286</v>
      </c>
      <c r="F57" s="17" t="n">
        <v>46286</v>
      </c>
      <c r="G57" s="14" t="n">
        <f aca="false">NETWORKDAYS(E57,F57,Holidays!$A$5:$A$9)</f>
        <v>1</v>
      </c>
      <c r="H57" s="15" t="s">
        <v>83</v>
      </c>
      <c r="I57" s="17" t="n">
        <v>46286</v>
      </c>
      <c r="J57" s="4" t="s">
        <v>47</v>
      </c>
      <c r="K57" s="15" t="s">
        <v>84</v>
      </c>
      <c r="L57" s="4" t="s">
        <v>85</v>
      </c>
    </row>
    <row r="58" customFormat="false" ht="15" hidden="false" customHeight="false" outlineLevel="0" collapsed="false">
      <c r="A58" s="18" t="s">
        <v>171</v>
      </c>
      <c r="B58" s="19" t="s">
        <v>39</v>
      </c>
      <c r="C58" s="8" t="str">
        <f aca="false">INDEX('Leave Balances'!$B$5:$B$24,MATCH(B58,'Leave Balances'!$A$5:$A$24,0))</f>
        <v>Noah Parker</v>
      </c>
      <c r="D58" s="20" t="s">
        <v>94</v>
      </c>
      <c r="E58" s="21" t="n">
        <v>46293</v>
      </c>
      <c r="F58" s="21" t="n">
        <v>46293</v>
      </c>
      <c r="G58" s="18" t="n">
        <f aca="false">NETWORKDAYS(E58,F58,Holidays!$A$5:$A$9)</f>
        <v>1</v>
      </c>
      <c r="H58" s="19" t="s">
        <v>83</v>
      </c>
      <c r="I58" s="21" t="n">
        <v>46290</v>
      </c>
      <c r="J58" s="8" t="s">
        <v>19</v>
      </c>
      <c r="K58" s="19" t="s">
        <v>89</v>
      </c>
      <c r="L58" s="8" t="s">
        <v>110</v>
      </c>
    </row>
    <row r="59" customFormat="false" ht="15" hidden="false" customHeight="false" outlineLevel="0" collapsed="false">
      <c r="A59" s="14" t="s">
        <v>172</v>
      </c>
      <c r="B59" s="15" t="s">
        <v>37</v>
      </c>
      <c r="C59" s="4" t="str">
        <f aca="false">INDEX('Leave Balances'!$B$5:$B$24,MATCH(B59,'Leave Balances'!$A$5:$A$24,0))</f>
        <v>Ava Mitchell</v>
      </c>
      <c r="D59" s="16" t="s">
        <v>82</v>
      </c>
      <c r="E59" s="17" t="n">
        <v>46296</v>
      </c>
      <c r="F59" s="17" t="n">
        <v>46297</v>
      </c>
      <c r="G59" s="14" t="n">
        <f aca="false">NETWORKDAYS(E59,F59,Holidays!$A$5:$A$9)</f>
        <v>2</v>
      </c>
      <c r="H59" s="15" t="s">
        <v>83</v>
      </c>
      <c r="I59" s="17" t="n">
        <v>46296</v>
      </c>
      <c r="J59" s="4" t="s">
        <v>26</v>
      </c>
      <c r="K59" s="15" t="s">
        <v>84</v>
      </c>
      <c r="L59" s="4" t="s">
        <v>173</v>
      </c>
    </row>
    <row r="60" customFormat="false" ht="15" hidden="false" customHeight="false" outlineLevel="0" collapsed="false">
      <c r="A60" s="18" t="s">
        <v>174</v>
      </c>
      <c r="B60" s="19" t="s">
        <v>44</v>
      </c>
      <c r="C60" s="8" t="str">
        <f aca="false">INDEX('Leave Balances'!$B$5:$B$24,MATCH(B60,'Leave Balances'!$A$5:$A$24,0))</f>
        <v>James Ward</v>
      </c>
      <c r="D60" s="20" t="s">
        <v>94</v>
      </c>
      <c r="E60" s="21" t="n">
        <v>46304</v>
      </c>
      <c r="F60" s="21" t="n">
        <v>46304</v>
      </c>
      <c r="G60" s="18" t="n">
        <f aca="false">NETWORKDAYS(E60,F60,Holidays!$A$5:$A$9)</f>
        <v>1</v>
      </c>
      <c r="H60" s="19" t="s">
        <v>175</v>
      </c>
      <c r="I60" s="21" t="n">
        <v>46300</v>
      </c>
      <c r="J60" s="8" t="s">
        <v>176</v>
      </c>
      <c r="K60" s="19" t="s">
        <v>89</v>
      </c>
      <c r="L60" s="8" t="s">
        <v>110</v>
      </c>
    </row>
    <row r="61" customFormat="false" ht="15" hidden="false" customHeight="false" outlineLevel="0" collapsed="false">
      <c r="A61" s="14" t="s">
        <v>177</v>
      </c>
      <c r="B61" s="15" t="s">
        <v>53</v>
      </c>
      <c r="C61" s="4" t="str">
        <f aca="false">INDEX('Leave Balances'!$B$5:$B$24,MATCH(B61,'Leave Balances'!$A$5:$A$24,0))</f>
        <v>Lucas Gray</v>
      </c>
      <c r="D61" s="16" t="s">
        <v>88</v>
      </c>
      <c r="E61" s="17" t="n">
        <v>46321</v>
      </c>
      <c r="F61" s="17" t="n">
        <v>46325</v>
      </c>
      <c r="G61" s="14" t="n">
        <f aca="false">NETWORKDAYS(E61,F61,Holidays!$A$5:$A$9)</f>
        <v>5</v>
      </c>
      <c r="H61" s="15" t="s">
        <v>175</v>
      </c>
      <c r="I61" s="17" t="n">
        <v>46300</v>
      </c>
      <c r="J61" s="4" t="s">
        <v>176</v>
      </c>
      <c r="K61" s="15" t="s">
        <v>89</v>
      </c>
      <c r="L61" s="4" t="s">
        <v>121</v>
      </c>
    </row>
    <row r="62" customFormat="false" ht="15" hidden="false" customHeight="false" outlineLevel="0" collapsed="false">
      <c r="A62" s="18" t="s">
        <v>178</v>
      </c>
      <c r="B62" s="19" t="s">
        <v>28</v>
      </c>
      <c r="C62" s="8" t="str">
        <f aca="false">INDEX('Leave Balances'!$B$5:$B$24,MATCH(B62,'Leave Balances'!$A$5:$A$24,0))</f>
        <v>Olivia Hughes</v>
      </c>
      <c r="D62" s="20" t="s">
        <v>88</v>
      </c>
      <c r="E62" s="21" t="n">
        <v>46377</v>
      </c>
      <c r="F62" s="21" t="n">
        <v>46380</v>
      </c>
      <c r="G62" s="18" t="n">
        <f aca="false">NETWORKDAYS(E62,F62,Holidays!$A$5:$A$9)</f>
        <v>4</v>
      </c>
      <c r="H62" s="19" t="s">
        <v>175</v>
      </c>
      <c r="I62" s="21" t="n">
        <v>46332</v>
      </c>
      <c r="J62" s="8" t="s">
        <v>176</v>
      </c>
      <c r="K62" s="19" t="s">
        <v>89</v>
      </c>
      <c r="L62" s="8" t="s">
        <v>179</v>
      </c>
    </row>
  </sheetData>
  <autoFilter ref="A4:L62"/>
  <conditionalFormatting sqref="H5:H62">
    <cfRule type="cellIs" priority="2" operator="equal" aboveAverage="0" equalAverage="0" bottom="0" percent="0" rank="0" text="" dxfId="10">
      <formula>"Pending"</formula>
    </cfRule>
    <cfRule type="cellIs" priority="3" operator="equal" aboveAverage="0" equalAverage="0" bottom="0" percent="0" rank="0" text="" dxfId="11">
      <formula>"Rejected"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15" min="3" style="0" width="7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3" customFormat="false" ht="15" hidden="false" customHeight="false" outlineLevel="0" collapsed="false">
      <c r="C3" s="22" t="n">
        <v>1</v>
      </c>
      <c r="D3" s="22" t="n">
        <v>2</v>
      </c>
      <c r="E3" s="22" t="n">
        <v>3</v>
      </c>
      <c r="F3" s="22" t="n">
        <v>4</v>
      </c>
      <c r="G3" s="22" t="n">
        <v>5</v>
      </c>
      <c r="H3" s="22" t="n">
        <v>6</v>
      </c>
      <c r="I3" s="22" t="n">
        <v>7</v>
      </c>
      <c r="J3" s="22" t="n">
        <v>8</v>
      </c>
      <c r="K3" s="22" t="n">
        <v>9</v>
      </c>
      <c r="L3" s="22" t="n">
        <v>10</v>
      </c>
      <c r="M3" s="22" t="n">
        <v>11</v>
      </c>
      <c r="N3" s="22" t="n">
        <v>12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182</v>
      </c>
      <c r="D4" s="3" t="s">
        <v>183</v>
      </c>
      <c r="E4" s="3" t="s">
        <v>184</v>
      </c>
      <c r="F4" s="3" t="s">
        <v>185</v>
      </c>
      <c r="G4" s="3" t="s">
        <v>186</v>
      </c>
      <c r="H4" s="3" t="s">
        <v>187</v>
      </c>
      <c r="I4" s="3" t="s">
        <v>188</v>
      </c>
      <c r="J4" s="3" t="s">
        <v>189</v>
      </c>
      <c r="K4" s="3" t="s">
        <v>190</v>
      </c>
      <c r="L4" s="3" t="s">
        <v>191</v>
      </c>
      <c r="M4" s="3" t="s">
        <v>192</v>
      </c>
      <c r="N4" s="3" t="s">
        <v>193</v>
      </c>
      <c r="O4" s="3" t="s">
        <v>194</v>
      </c>
    </row>
    <row r="5" customFormat="false" ht="15" hidden="false" customHeight="false" outlineLevel="0" collapsed="false">
      <c r="A5" s="23" t="s">
        <v>18</v>
      </c>
      <c r="B5" s="23" t="s">
        <v>19</v>
      </c>
      <c r="C5" s="24" t="n">
        <f aca="false">SUMPRODUCT(('Leave Log'!$B$5:$B$62=$A5)*('Leave Log'!$H$5:$H$62="Approved")*(MONTH('Leave Log'!$E$5:$E$62)=C$3)*'Leave Log'!$G$5:$G$62)</f>
        <v>0</v>
      </c>
      <c r="D5" s="24" t="n">
        <f aca="false">SUMPRODUCT(('Leave Log'!$B$5:$B$62=$A5)*('Leave Log'!$H$5:$H$62="Approved")*(MONTH('Leave Log'!$E$5:$E$62)=D$3)*'Leave Log'!$G$5:$G$62)</f>
        <v>0</v>
      </c>
      <c r="E5" s="24" t="n">
        <f aca="false">SUMPRODUCT(('Leave Log'!$B$5:$B$62=$A5)*('Leave Log'!$H$5:$H$62="Approved")*(MONTH('Leave Log'!$E$5:$E$62)=E$3)*'Leave Log'!$G$5:$G$62)</f>
        <v>5</v>
      </c>
      <c r="F5" s="24" t="n">
        <f aca="false">SUMPRODUCT(('Leave Log'!$B$5:$B$62=$A5)*('Leave Log'!$H$5:$H$62="Approved")*(MONTH('Leave Log'!$E$5:$E$62)=F$3)*'Leave Log'!$G$5:$G$62)</f>
        <v>0</v>
      </c>
      <c r="G5" s="24" t="n">
        <f aca="false">SUMPRODUCT(('Leave Log'!$B$5:$B$62=$A5)*('Leave Log'!$H$5:$H$62="Approved")*(MONTH('Leave Log'!$E$5:$E$62)=G$3)*'Leave Log'!$G$5:$G$62)</f>
        <v>0</v>
      </c>
      <c r="H5" s="24" t="n">
        <f aca="false">SUMPRODUCT(('Leave Log'!$B$5:$B$62=$A5)*('Leave Log'!$H$5:$H$62="Approved")*(MONTH('Leave Log'!$E$5:$E$62)=H$3)*'Leave Log'!$G$5:$G$62)</f>
        <v>0</v>
      </c>
      <c r="I5" s="24" t="n">
        <f aca="false">SUMPRODUCT(('Leave Log'!$B$5:$B$62=$A5)*('Leave Log'!$H$5:$H$62="Approved")*(MONTH('Leave Log'!$E$5:$E$62)=I$3)*'Leave Log'!$G$5:$G$62)</f>
        <v>0</v>
      </c>
      <c r="J5" s="24" t="n">
        <f aca="false">SUMPRODUCT(('Leave Log'!$B$5:$B$62=$A5)*('Leave Log'!$H$5:$H$62="Approved")*(MONTH('Leave Log'!$E$5:$E$62)=J$3)*'Leave Log'!$G$5:$G$62)</f>
        <v>5</v>
      </c>
      <c r="K5" s="24" t="n">
        <f aca="false">SUMPRODUCT(('Leave Log'!$B$5:$B$62=$A5)*('Leave Log'!$H$5:$H$62="Approved")*(MONTH('Leave Log'!$E$5:$E$62)=K$3)*'Leave Log'!$G$5:$G$62)</f>
        <v>0</v>
      </c>
      <c r="L5" s="24" t="n">
        <f aca="false">SUMPRODUCT(('Leave Log'!$B$5:$B$62=$A5)*('Leave Log'!$H$5:$H$62="Approved")*(MONTH('Leave Log'!$E$5:$E$62)=L$3)*'Leave Log'!$G$5:$G$62)</f>
        <v>0</v>
      </c>
      <c r="M5" s="24" t="n">
        <f aca="false">SUMPRODUCT(('Leave Log'!$B$5:$B$62=$A5)*('Leave Log'!$H$5:$H$62="Approved")*(MONTH('Leave Log'!$E$5:$E$62)=M$3)*'Leave Log'!$G$5:$G$62)</f>
        <v>0</v>
      </c>
      <c r="N5" s="24" t="n">
        <f aca="false">SUMPRODUCT(('Leave Log'!$B$5:$B$62=$A5)*('Leave Log'!$H$5:$H$62="Approved")*(MONTH('Leave Log'!$E$5:$E$62)=N$3)*'Leave Log'!$G$5:$G$62)</f>
        <v>0</v>
      </c>
      <c r="O5" s="25" t="n">
        <f aca="false">SUM(C5:N5)</f>
        <v>10</v>
      </c>
    </row>
    <row r="6" customFormat="false" ht="15" hidden="false" customHeight="false" outlineLevel="0" collapsed="false">
      <c r="A6" s="26" t="s">
        <v>22</v>
      </c>
      <c r="B6" s="26" t="s">
        <v>23</v>
      </c>
      <c r="C6" s="27" t="n">
        <f aca="false">SUMPRODUCT(('Leave Log'!$B$5:$B$62=$A6)*('Leave Log'!$H$5:$H$62="Approved")*(MONTH('Leave Log'!$E$5:$E$62)=C$3)*'Leave Log'!$G$5:$G$62)</f>
        <v>0</v>
      </c>
      <c r="D6" s="27" t="n">
        <f aca="false">SUMPRODUCT(('Leave Log'!$B$5:$B$62=$A6)*('Leave Log'!$H$5:$H$62="Approved")*(MONTH('Leave Log'!$E$5:$E$62)=D$3)*'Leave Log'!$G$5:$G$62)</f>
        <v>2</v>
      </c>
      <c r="E6" s="27" t="n">
        <f aca="false">SUMPRODUCT(('Leave Log'!$B$5:$B$62=$A6)*('Leave Log'!$H$5:$H$62="Approved")*(MONTH('Leave Log'!$E$5:$E$62)=E$3)*'Leave Log'!$G$5:$G$62)</f>
        <v>0</v>
      </c>
      <c r="F6" s="27" t="n">
        <f aca="false">SUMPRODUCT(('Leave Log'!$B$5:$B$62=$A6)*('Leave Log'!$H$5:$H$62="Approved")*(MONTH('Leave Log'!$E$5:$E$62)=F$3)*'Leave Log'!$G$5:$G$62)</f>
        <v>0</v>
      </c>
      <c r="G6" s="27" t="n">
        <f aca="false">SUMPRODUCT(('Leave Log'!$B$5:$B$62=$A6)*('Leave Log'!$H$5:$H$62="Approved")*(MONTH('Leave Log'!$E$5:$E$62)=G$3)*'Leave Log'!$G$5:$G$62)</f>
        <v>5</v>
      </c>
      <c r="H6" s="27" t="n">
        <f aca="false">SUMPRODUCT(('Leave Log'!$B$5:$B$62=$A6)*('Leave Log'!$H$5:$H$62="Approved")*(MONTH('Leave Log'!$E$5:$E$62)=H$3)*'Leave Log'!$G$5:$G$62)</f>
        <v>0</v>
      </c>
      <c r="I6" s="27" t="n">
        <f aca="false">SUMPRODUCT(('Leave Log'!$B$5:$B$62=$A6)*('Leave Log'!$H$5:$H$62="Approved")*(MONTH('Leave Log'!$E$5:$E$62)=I$3)*'Leave Log'!$G$5:$G$62)</f>
        <v>0</v>
      </c>
      <c r="J6" s="27" t="n">
        <f aca="false">SUMPRODUCT(('Leave Log'!$B$5:$B$62=$A6)*('Leave Log'!$H$5:$H$62="Approved")*(MONTH('Leave Log'!$E$5:$E$62)=J$3)*'Leave Log'!$G$5:$G$62)</f>
        <v>0</v>
      </c>
      <c r="K6" s="27" t="n">
        <f aca="false">SUMPRODUCT(('Leave Log'!$B$5:$B$62=$A6)*('Leave Log'!$H$5:$H$62="Approved")*(MONTH('Leave Log'!$E$5:$E$62)=K$3)*'Leave Log'!$G$5:$G$62)</f>
        <v>1</v>
      </c>
      <c r="L6" s="27" t="n">
        <f aca="false">SUMPRODUCT(('Leave Log'!$B$5:$B$62=$A6)*('Leave Log'!$H$5:$H$62="Approved")*(MONTH('Leave Log'!$E$5:$E$62)=L$3)*'Leave Log'!$G$5:$G$62)</f>
        <v>0</v>
      </c>
      <c r="M6" s="27" t="n">
        <f aca="false">SUMPRODUCT(('Leave Log'!$B$5:$B$62=$A6)*('Leave Log'!$H$5:$H$62="Approved")*(MONTH('Leave Log'!$E$5:$E$62)=M$3)*'Leave Log'!$G$5:$G$62)</f>
        <v>0</v>
      </c>
      <c r="N6" s="27" t="n">
        <f aca="false">SUMPRODUCT(('Leave Log'!$B$5:$B$62=$A6)*('Leave Log'!$H$5:$H$62="Approved")*(MONTH('Leave Log'!$E$5:$E$62)=N$3)*'Leave Log'!$G$5:$G$62)</f>
        <v>0</v>
      </c>
      <c r="O6" s="28" t="n">
        <f aca="false">SUM(C6:N6)</f>
        <v>8</v>
      </c>
    </row>
    <row r="7" customFormat="false" ht="15" hidden="false" customHeight="false" outlineLevel="0" collapsed="false">
      <c r="A7" s="23" t="s">
        <v>25</v>
      </c>
      <c r="B7" s="23" t="s">
        <v>26</v>
      </c>
      <c r="C7" s="24" t="n">
        <f aca="false">SUMPRODUCT(('Leave Log'!$B$5:$B$62=$A7)*('Leave Log'!$H$5:$H$62="Approved")*(MONTH('Leave Log'!$E$5:$E$62)=C$3)*'Leave Log'!$G$5:$G$62)</f>
        <v>0</v>
      </c>
      <c r="D7" s="24" t="n">
        <f aca="false">SUMPRODUCT(('Leave Log'!$B$5:$B$62=$A7)*('Leave Log'!$H$5:$H$62="Approved")*(MONTH('Leave Log'!$E$5:$E$62)=D$3)*'Leave Log'!$G$5:$G$62)</f>
        <v>0</v>
      </c>
      <c r="E7" s="24" t="n">
        <f aca="false">SUMPRODUCT(('Leave Log'!$B$5:$B$62=$A7)*('Leave Log'!$H$5:$H$62="Approved")*(MONTH('Leave Log'!$E$5:$E$62)=E$3)*'Leave Log'!$G$5:$G$62)</f>
        <v>0</v>
      </c>
      <c r="F7" s="24" t="n">
        <f aca="false">SUMPRODUCT(('Leave Log'!$B$5:$B$62=$A7)*('Leave Log'!$H$5:$H$62="Approved")*(MONTH('Leave Log'!$E$5:$E$62)=F$3)*'Leave Log'!$G$5:$G$62)</f>
        <v>1</v>
      </c>
      <c r="G7" s="24" t="n">
        <f aca="false">SUMPRODUCT(('Leave Log'!$B$5:$B$62=$A7)*('Leave Log'!$H$5:$H$62="Approved")*(MONTH('Leave Log'!$E$5:$E$62)=G$3)*'Leave Log'!$G$5:$G$62)</f>
        <v>0</v>
      </c>
      <c r="H7" s="24" t="n">
        <f aca="false">SUMPRODUCT(('Leave Log'!$B$5:$B$62=$A7)*('Leave Log'!$H$5:$H$62="Approved")*(MONTH('Leave Log'!$E$5:$E$62)=H$3)*'Leave Log'!$G$5:$G$62)</f>
        <v>0</v>
      </c>
      <c r="I7" s="24" t="n">
        <f aca="false">SUMPRODUCT(('Leave Log'!$B$5:$B$62=$A7)*('Leave Log'!$H$5:$H$62="Approved")*(MONTH('Leave Log'!$E$5:$E$62)=I$3)*'Leave Log'!$G$5:$G$62)</f>
        <v>5</v>
      </c>
      <c r="J7" s="24" t="n">
        <f aca="false">SUMPRODUCT(('Leave Log'!$B$5:$B$62=$A7)*('Leave Log'!$H$5:$H$62="Approved")*(MONTH('Leave Log'!$E$5:$E$62)=J$3)*'Leave Log'!$G$5:$G$62)</f>
        <v>0</v>
      </c>
      <c r="K7" s="24" t="n">
        <f aca="false">SUMPRODUCT(('Leave Log'!$B$5:$B$62=$A7)*('Leave Log'!$H$5:$H$62="Approved")*(MONTH('Leave Log'!$E$5:$E$62)=K$3)*'Leave Log'!$G$5:$G$62)</f>
        <v>0</v>
      </c>
      <c r="L7" s="24" t="n">
        <f aca="false">SUMPRODUCT(('Leave Log'!$B$5:$B$62=$A7)*('Leave Log'!$H$5:$H$62="Approved")*(MONTH('Leave Log'!$E$5:$E$62)=L$3)*'Leave Log'!$G$5:$G$62)</f>
        <v>0</v>
      </c>
      <c r="M7" s="24" t="n">
        <f aca="false">SUMPRODUCT(('Leave Log'!$B$5:$B$62=$A7)*('Leave Log'!$H$5:$H$62="Approved")*(MONTH('Leave Log'!$E$5:$E$62)=M$3)*'Leave Log'!$G$5:$G$62)</f>
        <v>0</v>
      </c>
      <c r="N7" s="24" t="n">
        <f aca="false">SUMPRODUCT(('Leave Log'!$B$5:$B$62=$A7)*('Leave Log'!$H$5:$H$62="Approved")*(MONTH('Leave Log'!$E$5:$E$62)=N$3)*'Leave Log'!$G$5:$G$62)</f>
        <v>0</v>
      </c>
      <c r="O7" s="25" t="n">
        <f aca="false">SUM(C7:N7)</f>
        <v>6</v>
      </c>
    </row>
    <row r="8" customFormat="false" ht="15" hidden="false" customHeight="false" outlineLevel="0" collapsed="false">
      <c r="A8" s="26" t="s">
        <v>28</v>
      </c>
      <c r="B8" s="26" t="s">
        <v>29</v>
      </c>
      <c r="C8" s="27" t="n">
        <f aca="false">SUMPRODUCT(('Leave Log'!$B$5:$B$62=$A8)*('Leave Log'!$H$5:$H$62="Approved")*(MONTH('Leave Log'!$E$5:$E$62)=C$3)*'Leave Log'!$G$5:$G$62)</f>
        <v>0</v>
      </c>
      <c r="D8" s="27" t="n">
        <f aca="false">SUMPRODUCT(('Leave Log'!$B$5:$B$62=$A8)*('Leave Log'!$H$5:$H$62="Approved")*(MONTH('Leave Log'!$E$5:$E$62)=D$3)*'Leave Log'!$G$5:$G$62)</f>
        <v>0</v>
      </c>
      <c r="E8" s="27" t="n">
        <f aca="false">SUMPRODUCT(('Leave Log'!$B$5:$B$62=$A8)*('Leave Log'!$H$5:$H$62="Approved")*(MONTH('Leave Log'!$E$5:$E$62)=E$3)*'Leave Log'!$G$5:$G$62)</f>
        <v>0</v>
      </c>
      <c r="F8" s="27" t="n">
        <f aca="false">SUMPRODUCT(('Leave Log'!$B$5:$B$62=$A8)*('Leave Log'!$H$5:$H$62="Approved")*(MONTH('Leave Log'!$E$5:$E$62)=F$3)*'Leave Log'!$G$5:$G$62)</f>
        <v>4</v>
      </c>
      <c r="G8" s="27" t="n">
        <f aca="false">SUMPRODUCT(('Leave Log'!$B$5:$B$62=$A8)*('Leave Log'!$H$5:$H$62="Approved")*(MONTH('Leave Log'!$E$5:$E$62)=G$3)*'Leave Log'!$G$5:$G$62)</f>
        <v>0</v>
      </c>
      <c r="H8" s="27" t="n">
        <f aca="false">SUMPRODUCT(('Leave Log'!$B$5:$B$62=$A8)*('Leave Log'!$H$5:$H$62="Approved")*(MONTH('Leave Log'!$E$5:$E$62)=H$3)*'Leave Log'!$G$5:$G$62)</f>
        <v>3</v>
      </c>
      <c r="I8" s="27" t="n">
        <f aca="false">SUMPRODUCT(('Leave Log'!$B$5:$B$62=$A8)*('Leave Log'!$H$5:$H$62="Approved")*(MONTH('Leave Log'!$E$5:$E$62)=I$3)*'Leave Log'!$G$5:$G$62)</f>
        <v>0</v>
      </c>
      <c r="J8" s="27" t="n">
        <f aca="false">SUMPRODUCT(('Leave Log'!$B$5:$B$62=$A8)*('Leave Log'!$H$5:$H$62="Approved")*(MONTH('Leave Log'!$E$5:$E$62)=J$3)*'Leave Log'!$G$5:$G$62)</f>
        <v>0</v>
      </c>
      <c r="K8" s="27" t="n">
        <f aca="false">SUMPRODUCT(('Leave Log'!$B$5:$B$62=$A8)*('Leave Log'!$H$5:$H$62="Approved")*(MONTH('Leave Log'!$E$5:$E$62)=K$3)*'Leave Log'!$G$5:$G$62)</f>
        <v>0</v>
      </c>
      <c r="L8" s="27" t="n">
        <f aca="false">SUMPRODUCT(('Leave Log'!$B$5:$B$62=$A8)*('Leave Log'!$H$5:$H$62="Approved")*(MONTH('Leave Log'!$E$5:$E$62)=L$3)*'Leave Log'!$G$5:$G$62)</f>
        <v>0</v>
      </c>
      <c r="M8" s="27" t="n">
        <f aca="false">SUMPRODUCT(('Leave Log'!$B$5:$B$62=$A8)*('Leave Log'!$H$5:$H$62="Approved")*(MONTH('Leave Log'!$E$5:$E$62)=M$3)*'Leave Log'!$G$5:$G$62)</f>
        <v>0</v>
      </c>
      <c r="N8" s="27" t="n">
        <f aca="false">SUMPRODUCT(('Leave Log'!$B$5:$B$62=$A8)*('Leave Log'!$H$5:$H$62="Approved")*(MONTH('Leave Log'!$E$5:$E$62)=N$3)*'Leave Log'!$G$5:$G$62)</f>
        <v>0</v>
      </c>
      <c r="O8" s="28" t="n">
        <f aca="false">SUM(C8:N8)</f>
        <v>7</v>
      </c>
    </row>
    <row r="9" customFormat="false" ht="15" hidden="false" customHeight="false" outlineLevel="0" collapsed="false">
      <c r="A9" s="23" t="s">
        <v>31</v>
      </c>
      <c r="B9" s="23" t="s">
        <v>32</v>
      </c>
      <c r="C9" s="24" t="n">
        <f aca="false">SUMPRODUCT(('Leave Log'!$B$5:$B$62=$A9)*('Leave Log'!$H$5:$H$62="Approved")*(MONTH('Leave Log'!$E$5:$E$62)=C$3)*'Leave Log'!$G$5:$G$62)</f>
        <v>5</v>
      </c>
      <c r="D9" s="24" t="n">
        <f aca="false">SUMPRODUCT(('Leave Log'!$B$5:$B$62=$A9)*('Leave Log'!$H$5:$H$62="Approved")*(MONTH('Leave Log'!$E$5:$E$62)=D$3)*'Leave Log'!$G$5:$G$62)</f>
        <v>0</v>
      </c>
      <c r="E9" s="24" t="n">
        <f aca="false">SUMPRODUCT(('Leave Log'!$B$5:$B$62=$A9)*('Leave Log'!$H$5:$H$62="Approved")*(MONTH('Leave Log'!$E$5:$E$62)=E$3)*'Leave Log'!$G$5:$G$62)</f>
        <v>1</v>
      </c>
      <c r="F9" s="24" t="n">
        <f aca="false">SUMPRODUCT(('Leave Log'!$B$5:$B$62=$A9)*('Leave Log'!$H$5:$H$62="Approved")*(MONTH('Leave Log'!$E$5:$E$62)=F$3)*'Leave Log'!$G$5:$G$62)</f>
        <v>0</v>
      </c>
      <c r="G9" s="24" t="n">
        <f aca="false">SUMPRODUCT(('Leave Log'!$B$5:$B$62=$A9)*('Leave Log'!$H$5:$H$62="Approved")*(MONTH('Leave Log'!$E$5:$E$62)=G$3)*'Leave Log'!$G$5:$G$62)</f>
        <v>0</v>
      </c>
      <c r="H9" s="24" t="n">
        <f aca="false">SUMPRODUCT(('Leave Log'!$B$5:$B$62=$A9)*('Leave Log'!$H$5:$H$62="Approved")*(MONTH('Leave Log'!$E$5:$E$62)=H$3)*'Leave Log'!$G$5:$G$62)</f>
        <v>0</v>
      </c>
      <c r="I9" s="24" t="n">
        <f aca="false">SUMPRODUCT(('Leave Log'!$B$5:$B$62=$A9)*('Leave Log'!$H$5:$H$62="Approved")*(MONTH('Leave Log'!$E$5:$E$62)=I$3)*'Leave Log'!$G$5:$G$62)</f>
        <v>0</v>
      </c>
      <c r="J9" s="24" t="n">
        <f aca="false">SUMPRODUCT(('Leave Log'!$B$5:$B$62=$A9)*('Leave Log'!$H$5:$H$62="Approved")*(MONTH('Leave Log'!$E$5:$E$62)=J$3)*'Leave Log'!$G$5:$G$62)</f>
        <v>0</v>
      </c>
      <c r="K9" s="24" t="n">
        <f aca="false">SUMPRODUCT(('Leave Log'!$B$5:$B$62=$A9)*('Leave Log'!$H$5:$H$62="Approved")*(MONTH('Leave Log'!$E$5:$E$62)=K$3)*'Leave Log'!$G$5:$G$62)</f>
        <v>5</v>
      </c>
      <c r="L9" s="24" t="n">
        <f aca="false">SUMPRODUCT(('Leave Log'!$B$5:$B$62=$A9)*('Leave Log'!$H$5:$H$62="Approved")*(MONTH('Leave Log'!$E$5:$E$62)=L$3)*'Leave Log'!$G$5:$G$62)</f>
        <v>0</v>
      </c>
      <c r="M9" s="24" t="n">
        <f aca="false">SUMPRODUCT(('Leave Log'!$B$5:$B$62=$A9)*('Leave Log'!$H$5:$H$62="Approved")*(MONTH('Leave Log'!$E$5:$E$62)=M$3)*'Leave Log'!$G$5:$G$62)</f>
        <v>0</v>
      </c>
      <c r="N9" s="24" t="n">
        <f aca="false">SUMPRODUCT(('Leave Log'!$B$5:$B$62=$A9)*('Leave Log'!$H$5:$H$62="Approved")*(MONTH('Leave Log'!$E$5:$E$62)=N$3)*'Leave Log'!$G$5:$G$62)</f>
        <v>0</v>
      </c>
      <c r="O9" s="25" t="n">
        <f aca="false">SUM(C9:N9)</f>
        <v>11</v>
      </c>
    </row>
    <row r="10" customFormat="false" ht="15" hidden="false" customHeight="false" outlineLevel="0" collapsed="false">
      <c r="A10" s="26" t="s">
        <v>33</v>
      </c>
      <c r="B10" s="26" t="s">
        <v>34</v>
      </c>
      <c r="C10" s="27" t="n">
        <f aca="false">SUMPRODUCT(('Leave Log'!$B$5:$B$62=$A10)*('Leave Log'!$H$5:$H$62="Approved")*(MONTH('Leave Log'!$E$5:$E$62)=C$3)*'Leave Log'!$G$5:$G$62)</f>
        <v>0</v>
      </c>
      <c r="D10" s="27" t="n">
        <f aca="false">SUMPRODUCT(('Leave Log'!$B$5:$B$62=$A10)*('Leave Log'!$H$5:$H$62="Approved")*(MONTH('Leave Log'!$E$5:$E$62)=D$3)*'Leave Log'!$G$5:$G$62)</f>
        <v>2</v>
      </c>
      <c r="E10" s="27" t="n">
        <f aca="false">SUMPRODUCT(('Leave Log'!$B$5:$B$62=$A10)*('Leave Log'!$H$5:$H$62="Approved")*(MONTH('Leave Log'!$E$5:$E$62)=E$3)*'Leave Log'!$G$5:$G$62)</f>
        <v>0</v>
      </c>
      <c r="F10" s="27" t="n">
        <f aca="false">SUMPRODUCT(('Leave Log'!$B$5:$B$62=$A10)*('Leave Log'!$H$5:$H$62="Approved")*(MONTH('Leave Log'!$E$5:$E$62)=F$3)*'Leave Log'!$G$5:$G$62)</f>
        <v>0</v>
      </c>
      <c r="G10" s="27" t="n">
        <f aca="false">SUMPRODUCT(('Leave Log'!$B$5:$B$62=$A10)*('Leave Log'!$H$5:$H$62="Approved")*(MONTH('Leave Log'!$E$5:$E$62)=G$3)*'Leave Log'!$G$5:$G$62)</f>
        <v>0</v>
      </c>
      <c r="H10" s="27" t="n">
        <f aca="false">SUMPRODUCT(('Leave Log'!$B$5:$B$62=$A10)*('Leave Log'!$H$5:$H$62="Approved")*(MONTH('Leave Log'!$E$5:$E$62)=H$3)*'Leave Log'!$G$5:$G$62)</f>
        <v>5</v>
      </c>
      <c r="I10" s="27" t="n">
        <f aca="false">SUMPRODUCT(('Leave Log'!$B$5:$B$62=$A10)*('Leave Log'!$H$5:$H$62="Approved")*(MONTH('Leave Log'!$E$5:$E$62)=I$3)*'Leave Log'!$G$5:$G$62)</f>
        <v>0</v>
      </c>
      <c r="J10" s="27" t="n">
        <f aca="false">SUMPRODUCT(('Leave Log'!$B$5:$B$62=$A10)*('Leave Log'!$H$5:$H$62="Approved")*(MONTH('Leave Log'!$E$5:$E$62)=J$3)*'Leave Log'!$G$5:$G$62)</f>
        <v>1</v>
      </c>
      <c r="K10" s="27" t="n">
        <f aca="false">SUMPRODUCT(('Leave Log'!$B$5:$B$62=$A10)*('Leave Log'!$H$5:$H$62="Approved")*(MONTH('Leave Log'!$E$5:$E$62)=K$3)*'Leave Log'!$G$5:$G$62)</f>
        <v>0</v>
      </c>
      <c r="L10" s="27" t="n">
        <f aca="false">SUMPRODUCT(('Leave Log'!$B$5:$B$62=$A10)*('Leave Log'!$H$5:$H$62="Approved")*(MONTH('Leave Log'!$E$5:$E$62)=L$3)*'Leave Log'!$G$5:$G$62)</f>
        <v>0</v>
      </c>
      <c r="M10" s="27" t="n">
        <f aca="false">SUMPRODUCT(('Leave Log'!$B$5:$B$62=$A10)*('Leave Log'!$H$5:$H$62="Approved")*(MONTH('Leave Log'!$E$5:$E$62)=M$3)*'Leave Log'!$G$5:$G$62)</f>
        <v>0</v>
      </c>
      <c r="N10" s="27" t="n">
        <f aca="false">SUMPRODUCT(('Leave Log'!$B$5:$B$62=$A10)*('Leave Log'!$H$5:$H$62="Approved")*(MONTH('Leave Log'!$E$5:$E$62)=N$3)*'Leave Log'!$G$5:$G$62)</f>
        <v>0</v>
      </c>
      <c r="O10" s="28" t="n">
        <f aca="false">SUM(C10:N10)</f>
        <v>8</v>
      </c>
    </row>
    <row r="11" customFormat="false" ht="15" hidden="false" customHeight="false" outlineLevel="0" collapsed="false">
      <c r="A11" s="23" t="s">
        <v>35</v>
      </c>
      <c r="B11" s="23" t="s">
        <v>36</v>
      </c>
      <c r="C11" s="24" t="n">
        <f aca="false">SUMPRODUCT(('Leave Log'!$B$5:$B$62=$A11)*('Leave Log'!$H$5:$H$62="Approved")*(MONTH('Leave Log'!$E$5:$E$62)=C$3)*'Leave Log'!$G$5:$G$62)</f>
        <v>0</v>
      </c>
      <c r="D11" s="24" t="n">
        <f aca="false">SUMPRODUCT(('Leave Log'!$B$5:$B$62=$A11)*('Leave Log'!$H$5:$H$62="Approved")*(MONTH('Leave Log'!$E$5:$E$62)=D$3)*'Leave Log'!$G$5:$G$62)</f>
        <v>0</v>
      </c>
      <c r="E11" s="24" t="n">
        <f aca="false">SUMPRODUCT(('Leave Log'!$B$5:$B$62=$A11)*('Leave Log'!$H$5:$H$62="Approved")*(MONTH('Leave Log'!$E$5:$E$62)=E$3)*'Leave Log'!$G$5:$G$62)</f>
        <v>0</v>
      </c>
      <c r="F11" s="24" t="n">
        <f aca="false">SUMPRODUCT(('Leave Log'!$B$5:$B$62=$A11)*('Leave Log'!$H$5:$H$62="Approved")*(MONTH('Leave Log'!$E$5:$E$62)=F$3)*'Leave Log'!$G$5:$G$62)</f>
        <v>0</v>
      </c>
      <c r="G11" s="24" t="n">
        <f aca="false">SUMPRODUCT(('Leave Log'!$B$5:$B$62=$A11)*('Leave Log'!$H$5:$H$62="Approved")*(MONTH('Leave Log'!$E$5:$E$62)=G$3)*'Leave Log'!$G$5:$G$62)</f>
        <v>0</v>
      </c>
      <c r="H11" s="24" t="n">
        <f aca="false">SUMPRODUCT(('Leave Log'!$B$5:$B$62=$A11)*('Leave Log'!$H$5:$H$62="Approved")*(MONTH('Leave Log'!$E$5:$E$62)=H$3)*'Leave Log'!$G$5:$G$62)</f>
        <v>0</v>
      </c>
      <c r="I11" s="24" t="n">
        <f aca="false">SUMPRODUCT(('Leave Log'!$B$5:$B$62=$A11)*('Leave Log'!$H$5:$H$62="Approved")*(MONTH('Leave Log'!$E$5:$E$62)=I$3)*'Leave Log'!$G$5:$G$62)</f>
        <v>5</v>
      </c>
      <c r="J11" s="24" t="n">
        <f aca="false">SUMPRODUCT(('Leave Log'!$B$5:$B$62=$A11)*('Leave Log'!$H$5:$H$62="Approved")*(MONTH('Leave Log'!$E$5:$E$62)=J$3)*'Leave Log'!$G$5:$G$62)</f>
        <v>0</v>
      </c>
      <c r="K11" s="24" t="n">
        <f aca="false">SUMPRODUCT(('Leave Log'!$B$5:$B$62=$A11)*('Leave Log'!$H$5:$H$62="Approved")*(MONTH('Leave Log'!$E$5:$E$62)=K$3)*'Leave Log'!$G$5:$G$62)</f>
        <v>3</v>
      </c>
      <c r="L11" s="24" t="n">
        <f aca="false">SUMPRODUCT(('Leave Log'!$B$5:$B$62=$A11)*('Leave Log'!$H$5:$H$62="Approved")*(MONTH('Leave Log'!$E$5:$E$62)=L$3)*'Leave Log'!$G$5:$G$62)</f>
        <v>0</v>
      </c>
      <c r="M11" s="24" t="n">
        <f aca="false">SUMPRODUCT(('Leave Log'!$B$5:$B$62=$A11)*('Leave Log'!$H$5:$H$62="Approved")*(MONTH('Leave Log'!$E$5:$E$62)=M$3)*'Leave Log'!$G$5:$G$62)</f>
        <v>0</v>
      </c>
      <c r="N11" s="24" t="n">
        <f aca="false">SUMPRODUCT(('Leave Log'!$B$5:$B$62=$A11)*('Leave Log'!$H$5:$H$62="Approved")*(MONTH('Leave Log'!$E$5:$E$62)=N$3)*'Leave Log'!$G$5:$G$62)</f>
        <v>0</v>
      </c>
      <c r="O11" s="25" t="n">
        <f aca="false">SUM(C11:N11)</f>
        <v>8</v>
      </c>
    </row>
    <row r="12" customFormat="false" ht="15" hidden="false" customHeight="false" outlineLevel="0" collapsed="false">
      <c r="A12" s="26" t="s">
        <v>37</v>
      </c>
      <c r="B12" s="26" t="s">
        <v>38</v>
      </c>
      <c r="C12" s="27" t="n">
        <f aca="false">SUMPRODUCT(('Leave Log'!$B$5:$B$62=$A12)*('Leave Log'!$H$5:$H$62="Approved")*(MONTH('Leave Log'!$E$5:$E$62)=C$3)*'Leave Log'!$G$5:$G$62)</f>
        <v>0</v>
      </c>
      <c r="D12" s="27" t="n">
        <f aca="false">SUMPRODUCT(('Leave Log'!$B$5:$B$62=$A12)*('Leave Log'!$H$5:$H$62="Approved")*(MONTH('Leave Log'!$E$5:$E$62)=D$3)*'Leave Log'!$G$5:$G$62)</f>
        <v>0</v>
      </c>
      <c r="E12" s="27" t="n">
        <f aca="false">SUMPRODUCT(('Leave Log'!$B$5:$B$62=$A12)*('Leave Log'!$H$5:$H$62="Approved")*(MONTH('Leave Log'!$E$5:$E$62)=E$3)*'Leave Log'!$G$5:$G$62)</f>
        <v>1</v>
      </c>
      <c r="F12" s="27" t="n">
        <f aca="false">SUMPRODUCT(('Leave Log'!$B$5:$B$62=$A12)*('Leave Log'!$H$5:$H$62="Approved")*(MONTH('Leave Log'!$E$5:$E$62)=F$3)*'Leave Log'!$G$5:$G$62)</f>
        <v>0</v>
      </c>
      <c r="G12" s="27" t="n">
        <f aca="false">SUMPRODUCT(('Leave Log'!$B$5:$B$62=$A12)*('Leave Log'!$H$5:$H$62="Approved")*(MONTH('Leave Log'!$E$5:$E$62)=G$3)*'Leave Log'!$G$5:$G$62)</f>
        <v>5</v>
      </c>
      <c r="H12" s="27" t="n">
        <f aca="false">SUMPRODUCT(('Leave Log'!$B$5:$B$62=$A12)*('Leave Log'!$H$5:$H$62="Approved")*(MONTH('Leave Log'!$E$5:$E$62)=H$3)*'Leave Log'!$G$5:$G$62)</f>
        <v>0</v>
      </c>
      <c r="I12" s="27" t="n">
        <f aca="false">SUMPRODUCT(('Leave Log'!$B$5:$B$62=$A12)*('Leave Log'!$H$5:$H$62="Approved")*(MONTH('Leave Log'!$E$5:$E$62)=I$3)*'Leave Log'!$G$5:$G$62)</f>
        <v>0</v>
      </c>
      <c r="J12" s="27" t="n">
        <f aca="false">SUMPRODUCT(('Leave Log'!$B$5:$B$62=$A12)*('Leave Log'!$H$5:$H$62="Approved")*(MONTH('Leave Log'!$E$5:$E$62)=J$3)*'Leave Log'!$G$5:$G$62)</f>
        <v>0</v>
      </c>
      <c r="K12" s="27" t="n">
        <f aca="false">SUMPRODUCT(('Leave Log'!$B$5:$B$62=$A12)*('Leave Log'!$H$5:$H$62="Approved")*(MONTH('Leave Log'!$E$5:$E$62)=K$3)*'Leave Log'!$G$5:$G$62)</f>
        <v>0</v>
      </c>
      <c r="L12" s="27" t="n">
        <f aca="false">SUMPRODUCT(('Leave Log'!$B$5:$B$62=$A12)*('Leave Log'!$H$5:$H$62="Approved")*(MONTH('Leave Log'!$E$5:$E$62)=L$3)*'Leave Log'!$G$5:$G$62)</f>
        <v>2</v>
      </c>
      <c r="M12" s="27" t="n">
        <f aca="false">SUMPRODUCT(('Leave Log'!$B$5:$B$62=$A12)*('Leave Log'!$H$5:$H$62="Approved")*(MONTH('Leave Log'!$E$5:$E$62)=M$3)*'Leave Log'!$G$5:$G$62)</f>
        <v>0</v>
      </c>
      <c r="N12" s="27" t="n">
        <f aca="false">SUMPRODUCT(('Leave Log'!$B$5:$B$62=$A12)*('Leave Log'!$H$5:$H$62="Approved")*(MONTH('Leave Log'!$E$5:$E$62)=N$3)*'Leave Log'!$G$5:$G$62)</f>
        <v>0</v>
      </c>
      <c r="O12" s="28" t="n">
        <f aca="false">SUM(C12:N12)</f>
        <v>8</v>
      </c>
    </row>
    <row r="13" customFormat="false" ht="15" hidden="false" customHeight="false" outlineLevel="0" collapsed="false">
      <c r="A13" s="23" t="s">
        <v>39</v>
      </c>
      <c r="B13" s="23" t="s">
        <v>40</v>
      </c>
      <c r="C13" s="24" t="n">
        <f aca="false">SUMPRODUCT(('Leave Log'!$B$5:$B$62=$A13)*('Leave Log'!$H$5:$H$62="Approved")*(MONTH('Leave Log'!$E$5:$E$62)=C$3)*'Leave Log'!$G$5:$G$62)</f>
        <v>0</v>
      </c>
      <c r="D13" s="24" t="n">
        <f aca="false">SUMPRODUCT(('Leave Log'!$B$5:$B$62=$A13)*('Leave Log'!$H$5:$H$62="Approved")*(MONTH('Leave Log'!$E$5:$E$62)=D$3)*'Leave Log'!$G$5:$G$62)</f>
        <v>0</v>
      </c>
      <c r="E13" s="24" t="n">
        <f aca="false">SUMPRODUCT(('Leave Log'!$B$5:$B$62=$A13)*('Leave Log'!$H$5:$H$62="Approved")*(MONTH('Leave Log'!$E$5:$E$62)=E$3)*'Leave Log'!$G$5:$G$62)</f>
        <v>0</v>
      </c>
      <c r="F13" s="24" t="n">
        <f aca="false">SUMPRODUCT(('Leave Log'!$B$5:$B$62=$A13)*('Leave Log'!$H$5:$H$62="Approved")*(MONTH('Leave Log'!$E$5:$E$62)=F$3)*'Leave Log'!$G$5:$G$62)</f>
        <v>5</v>
      </c>
      <c r="G13" s="24" t="n">
        <f aca="false">SUMPRODUCT(('Leave Log'!$B$5:$B$62=$A13)*('Leave Log'!$H$5:$H$62="Approved")*(MONTH('Leave Log'!$E$5:$E$62)=G$3)*'Leave Log'!$G$5:$G$62)</f>
        <v>0</v>
      </c>
      <c r="H13" s="24" t="n">
        <f aca="false">SUMPRODUCT(('Leave Log'!$B$5:$B$62=$A13)*('Leave Log'!$H$5:$H$62="Approved")*(MONTH('Leave Log'!$E$5:$E$62)=H$3)*'Leave Log'!$G$5:$G$62)</f>
        <v>0</v>
      </c>
      <c r="I13" s="24" t="n">
        <f aca="false">SUMPRODUCT(('Leave Log'!$B$5:$B$62=$A13)*('Leave Log'!$H$5:$H$62="Approved")*(MONTH('Leave Log'!$E$5:$E$62)=I$3)*'Leave Log'!$G$5:$G$62)</f>
        <v>0</v>
      </c>
      <c r="J13" s="24" t="n">
        <f aca="false">SUMPRODUCT(('Leave Log'!$B$5:$B$62=$A13)*('Leave Log'!$H$5:$H$62="Approved")*(MONTH('Leave Log'!$E$5:$E$62)=J$3)*'Leave Log'!$G$5:$G$62)</f>
        <v>3</v>
      </c>
      <c r="K13" s="24" t="n">
        <f aca="false">SUMPRODUCT(('Leave Log'!$B$5:$B$62=$A13)*('Leave Log'!$H$5:$H$62="Approved")*(MONTH('Leave Log'!$E$5:$E$62)=K$3)*'Leave Log'!$G$5:$G$62)</f>
        <v>1</v>
      </c>
      <c r="L13" s="24" t="n">
        <f aca="false">SUMPRODUCT(('Leave Log'!$B$5:$B$62=$A13)*('Leave Log'!$H$5:$H$62="Approved")*(MONTH('Leave Log'!$E$5:$E$62)=L$3)*'Leave Log'!$G$5:$G$62)</f>
        <v>0</v>
      </c>
      <c r="M13" s="24" t="n">
        <f aca="false">SUMPRODUCT(('Leave Log'!$B$5:$B$62=$A13)*('Leave Log'!$H$5:$H$62="Approved")*(MONTH('Leave Log'!$E$5:$E$62)=M$3)*'Leave Log'!$G$5:$G$62)</f>
        <v>0</v>
      </c>
      <c r="N13" s="24" t="n">
        <f aca="false">SUMPRODUCT(('Leave Log'!$B$5:$B$62=$A13)*('Leave Log'!$H$5:$H$62="Approved")*(MONTH('Leave Log'!$E$5:$E$62)=N$3)*'Leave Log'!$G$5:$G$62)</f>
        <v>0</v>
      </c>
      <c r="O13" s="25" t="n">
        <f aca="false">SUM(C13:N13)</f>
        <v>9</v>
      </c>
    </row>
    <row r="14" customFormat="false" ht="15" hidden="false" customHeight="false" outlineLevel="0" collapsed="false">
      <c r="A14" s="26" t="s">
        <v>42</v>
      </c>
      <c r="B14" s="26" t="s">
        <v>43</v>
      </c>
      <c r="C14" s="27" t="n">
        <f aca="false">SUMPRODUCT(('Leave Log'!$B$5:$B$62=$A14)*('Leave Log'!$H$5:$H$62="Approved")*(MONTH('Leave Log'!$E$5:$E$62)=C$3)*'Leave Log'!$G$5:$G$62)</f>
        <v>0</v>
      </c>
      <c r="D14" s="27" t="n">
        <f aca="false">SUMPRODUCT(('Leave Log'!$B$5:$B$62=$A14)*('Leave Log'!$H$5:$H$62="Approved")*(MONTH('Leave Log'!$E$5:$E$62)=D$3)*'Leave Log'!$G$5:$G$62)</f>
        <v>5</v>
      </c>
      <c r="E14" s="27" t="n">
        <f aca="false">SUMPRODUCT(('Leave Log'!$B$5:$B$62=$A14)*('Leave Log'!$H$5:$H$62="Approved")*(MONTH('Leave Log'!$E$5:$E$62)=E$3)*'Leave Log'!$G$5:$G$62)</f>
        <v>0</v>
      </c>
      <c r="F14" s="27" t="n">
        <f aca="false">SUMPRODUCT(('Leave Log'!$B$5:$B$62=$A14)*('Leave Log'!$H$5:$H$62="Approved")*(MONTH('Leave Log'!$E$5:$E$62)=F$3)*'Leave Log'!$G$5:$G$62)</f>
        <v>0</v>
      </c>
      <c r="G14" s="27" t="n">
        <f aca="false">SUMPRODUCT(('Leave Log'!$B$5:$B$62=$A14)*('Leave Log'!$H$5:$H$62="Approved")*(MONTH('Leave Log'!$E$5:$E$62)=G$3)*'Leave Log'!$G$5:$G$62)</f>
        <v>0</v>
      </c>
      <c r="H14" s="27" t="n">
        <f aca="false">SUMPRODUCT(('Leave Log'!$B$5:$B$62=$A14)*('Leave Log'!$H$5:$H$62="Approved")*(MONTH('Leave Log'!$E$5:$E$62)=H$3)*'Leave Log'!$G$5:$G$62)</f>
        <v>1</v>
      </c>
      <c r="I14" s="27" t="n">
        <f aca="false">SUMPRODUCT(('Leave Log'!$B$5:$B$62=$A14)*('Leave Log'!$H$5:$H$62="Approved")*(MONTH('Leave Log'!$E$5:$E$62)=I$3)*'Leave Log'!$G$5:$G$62)</f>
        <v>0</v>
      </c>
      <c r="J14" s="27" t="n">
        <f aca="false">SUMPRODUCT(('Leave Log'!$B$5:$B$62=$A14)*('Leave Log'!$H$5:$H$62="Approved")*(MONTH('Leave Log'!$E$5:$E$62)=J$3)*'Leave Log'!$G$5:$G$62)</f>
        <v>5</v>
      </c>
      <c r="K14" s="27" t="n">
        <f aca="false">SUMPRODUCT(('Leave Log'!$B$5:$B$62=$A14)*('Leave Log'!$H$5:$H$62="Approved")*(MONTH('Leave Log'!$E$5:$E$62)=K$3)*'Leave Log'!$G$5:$G$62)</f>
        <v>0</v>
      </c>
      <c r="L14" s="27" t="n">
        <f aca="false">SUMPRODUCT(('Leave Log'!$B$5:$B$62=$A14)*('Leave Log'!$H$5:$H$62="Approved")*(MONTH('Leave Log'!$E$5:$E$62)=L$3)*'Leave Log'!$G$5:$G$62)</f>
        <v>0</v>
      </c>
      <c r="M14" s="27" t="n">
        <f aca="false">SUMPRODUCT(('Leave Log'!$B$5:$B$62=$A14)*('Leave Log'!$H$5:$H$62="Approved")*(MONTH('Leave Log'!$E$5:$E$62)=M$3)*'Leave Log'!$G$5:$G$62)</f>
        <v>0</v>
      </c>
      <c r="N14" s="27" t="n">
        <f aca="false">SUMPRODUCT(('Leave Log'!$B$5:$B$62=$A14)*('Leave Log'!$H$5:$H$62="Approved")*(MONTH('Leave Log'!$E$5:$E$62)=N$3)*'Leave Log'!$G$5:$G$62)</f>
        <v>0</v>
      </c>
      <c r="O14" s="28" t="n">
        <f aca="false">SUM(C14:N14)</f>
        <v>11</v>
      </c>
    </row>
    <row r="15" customFormat="false" ht="15" hidden="false" customHeight="false" outlineLevel="0" collapsed="false">
      <c r="A15" s="23" t="s">
        <v>44</v>
      </c>
      <c r="B15" s="23" t="s">
        <v>45</v>
      </c>
      <c r="C15" s="24" t="n">
        <f aca="false">SUMPRODUCT(('Leave Log'!$B$5:$B$62=$A15)*('Leave Log'!$H$5:$H$62="Approved")*(MONTH('Leave Log'!$E$5:$E$62)=C$3)*'Leave Log'!$G$5:$G$62)</f>
        <v>2</v>
      </c>
      <c r="D15" s="24" t="n">
        <f aca="false">SUMPRODUCT(('Leave Log'!$B$5:$B$62=$A15)*('Leave Log'!$H$5:$H$62="Approved")*(MONTH('Leave Log'!$E$5:$E$62)=D$3)*'Leave Log'!$G$5:$G$62)</f>
        <v>0</v>
      </c>
      <c r="E15" s="24" t="n">
        <f aca="false">SUMPRODUCT(('Leave Log'!$B$5:$B$62=$A15)*('Leave Log'!$H$5:$H$62="Approved")*(MONTH('Leave Log'!$E$5:$E$62)=E$3)*'Leave Log'!$G$5:$G$62)</f>
        <v>0</v>
      </c>
      <c r="F15" s="24" t="n">
        <f aca="false">SUMPRODUCT(('Leave Log'!$B$5:$B$62=$A15)*('Leave Log'!$H$5:$H$62="Approved")*(MONTH('Leave Log'!$E$5:$E$62)=F$3)*'Leave Log'!$G$5:$G$62)</f>
        <v>0</v>
      </c>
      <c r="G15" s="24" t="n">
        <f aca="false">SUMPRODUCT(('Leave Log'!$B$5:$B$62=$A15)*('Leave Log'!$H$5:$H$62="Approved")*(MONTH('Leave Log'!$E$5:$E$62)=G$3)*'Leave Log'!$G$5:$G$62)</f>
        <v>0</v>
      </c>
      <c r="H15" s="24" t="n">
        <f aca="false">SUMPRODUCT(('Leave Log'!$B$5:$B$62=$A15)*('Leave Log'!$H$5:$H$62="Approved")*(MONTH('Leave Log'!$E$5:$E$62)=H$3)*'Leave Log'!$G$5:$G$62)</f>
        <v>5</v>
      </c>
      <c r="I15" s="24" t="n">
        <f aca="false">SUMPRODUCT(('Leave Log'!$B$5:$B$62=$A15)*('Leave Log'!$H$5:$H$62="Approved")*(MONTH('Leave Log'!$E$5:$E$62)=I$3)*'Leave Log'!$G$5:$G$62)</f>
        <v>0</v>
      </c>
      <c r="J15" s="24" t="n">
        <f aca="false">SUMPRODUCT(('Leave Log'!$B$5:$B$62=$A15)*('Leave Log'!$H$5:$H$62="Approved")*(MONTH('Leave Log'!$E$5:$E$62)=J$3)*'Leave Log'!$G$5:$G$62)</f>
        <v>0</v>
      </c>
      <c r="K15" s="24" t="n">
        <f aca="false">SUMPRODUCT(('Leave Log'!$B$5:$B$62=$A15)*('Leave Log'!$H$5:$H$62="Approved")*(MONTH('Leave Log'!$E$5:$E$62)=K$3)*'Leave Log'!$G$5:$G$62)</f>
        <v>0</v>
      </c>
      <c r="L15" s="24" t="n">
        <f aca="false">SUMPRODUCT(('Leave Log'!$B$5:$B$62=$A15)*('Leave Log'!$H$5:$H$62="Approved")*(MONTH('Leave Log'!$E$5:$E$62)=L$3)*'Leave Log'!$G$5:$G$62)</f>
        <v>0</v>
      </c>
      <c r="M15" s="24" t="n">
        <f aca="false">SUMPRODUCT(('Leave Log'!$B$5:$B$62=$A15)*('Leave Log'!$H$5:$H$62="Approved")*(MONTH('Leave Log'!$E$5:$E$62)=M$3)*'Leave Log'!$G$5:$G$62)</f>
        <v>0</v>
      </c>
      <c r="N15" s="24" t="n">
        <f aca="false">SUMPRODUCT(('Leave Log'!$B$5:$B$62=$A15)*('Leave Log'!$H$5:$H$62="Approved")*(MONTH('Leave Log'!$E$5:$E$62)=N$3)*'Leave Log'!$G$5:$G$62)</f>
        <v>0</v>
      </c>
      <c r="O15" s="25" t="n">
        <f aca="false">SUM(C15:N15)</f>
        <v>7</v>
      </c>
    </row>
    <row r="16" customFormat="false" ht="15" hidden="false" customHeight="false" outlineLevel="0" collapsed="false">
      <c r="A16" s="26" t="s">
        <v>46</v>
      </c>
      <c r="B16" s="26" t="s">
        <v>47</v>
      </c>
      <c r="C16" s="27" t="n">
        <f aca="false">SUMPRODUCT(('Leave Log'!$B$5:$B$62=$A16)*('Leave Log'!$H$5:$H$62="Approved")*(MONTH('Leave Log'!$E$5:$E$62)=C$3)*'Leave Log'!$G$5:$G$62)</f>
        <v>0</v>
      </c>
      <c r="D16" s="27" t="n">
        <f aca="false">SUMPRODUCT(('Leave Log'!$B$5:$B$62=$A16)*('Leave Log'!$H$5:$H$62="Approved")*(MONTH('Leave Log'!$E$5:$E$62)=D$3)*'Leave Log'!$G$5:$G$62)</f>
        <v>0</v>
      </c>
      <c r="E16" s="27" t="n">
        <f aca="false">SUMPRODUCT(('Leave Log'!$B$5:$B$62=$A16)*('Leave Log'!$H$5:$H$62="Approved")*(MONTH('Leave Log'!$E$5:$E$62)=E$3)*'Leave Log'!$G$5:$G$62)</f>
        <v>5</v>
      </c>
      <c r="F16" s="27" t="n">
        <f aca="false">SUMPRODUCT(('Leave Log'!$B$5:$B$62=$A16)*('Leave Log'!$H$5:$H$62="Approved")*(MONTH('Leave Log'!$E$5:$E$62)=F$3)*'Leave Log'!$G$5:$G$62)</f>
        <v>0</v>
      </c>
      <c r="G16" s="27" t="n">
        <f aca="false">SUMPRODUCT(('Leave Log'!$B$5:$B$62=$A16)*('Leave Log'!$H$5:$H$62="Approved")*(MONTH('Leave Log'!$E$5:$E$62)=G$3)*'Leave Log'!$G$5:$G$62)</f>
        <v>1</v>
      </c>
      <c r="H16" s="27" t="n">
        <f aca="false">SUMPRODUCT(('Leave Log'!$B$5:$B$62=$A16)*('Leave Log'!$H$5:$H$62="Approved")*(MONTH('Leave Log'!$E$5:$E$62)=H$3)*'Leave Log'!$G$5:$G$62)</f>
        <v>0</v>
      </c>
      <c r="I16" s="27" t="n">
        <f aca="false">SUMPRODUCT(('Leave Log'!$B$5:$B$62=$A16)*('Leave Log'!$H$5:$H$62="Approved")*(MONTH('Leave Log'!$E$5:$E$62)=I$3)*'Leave Log'!$G$5:$G$62)</f>
        <v>0</v>
      </c>
      <c r="J16" s="27" t="n">
        <f aca="false">SUMPRODUCT(('Leave Log'!$B$5:$B$62=$A16)*('Leave Log'!$H$5:$H$62="Approved")*(MONTH('Leave Log'!$E$5:$E$62)=J$3)*'Leave Log'!$G$5:$G$62)</f>
        <v>0</v>
      </c>
      <c r="K16" s="27" t="n">
        <f aca="false">SUMPRODUCT(('Leave Log'!$B$5:$B$62=$A16)*('Leave Log'!$H$5:$H$62="Approved")*(MONTH('Leave Log'!$E$5:$E$62)=K$3)*'Leave Log'!$G$5:$G$62)</f>
        <v>2</v>
      </c>
      <c r="L16" s="27" t="n">
        <f aca="false">SUMPRODUCT(('Leave Log'!$B$5:$B$62=$A16)*('Leave Log'!$H$5:$H$62="Approved")*(MONTH('Leave Log'!$E$5:$E$62)=L$3)*'Leave Log'!$G$5:$G$62)</f>
        <v>0</v>
      </c>
      <c r="M16" s="27" t="n">
        <f aca="false">SUMPRODUCT(('Leave Log'!$B$5:$B$62=$A16)*('Leave Log'!$H$5:$H$62="Approved")*(MONTH('Leave Log'!$E$5:$E$62)=M$3)*'Leave Log'!$G$5:$G$62)</f>
        <v>0</v>
      </c>
      <c r="N16" s="27" t="n">
        <f aca="false">SUMPRODUCT(('Leave Log'!$B$5:$B$62=$A16)*('Leave Log'!$H$5:$H$62="Approved")*(MONTH('Leave Log'!$E$5:$E$62)=N$3)*'Leave Log'!$G$5:$G$62)</f>
        <v>0</v>
      </c>
      <c r="O16" s="28" t="n">
        <f aca="false">SUM(C16:N16)</f>
        <v>8</v>
      </c>
    </row>
    <row r="17" customFormat="false" ht="15" hidden="false" customHeight="false" outlineLevel="0" collapsed="false">
      <c r="A17" s="23" t="s">
        <v>49</v>
      </c>
      <c r="B17" s="23" t="s">
        <v>50</v>
      </c>
      <c r="C17" s="24" t="n">
        <f aca="false">SUMPRODUCT(('Leave Log'!$B$5:$B$62=$A17)*('Leave Log'!$H$5:$H$62="Approved")*(MONTH('Leave Log'!$E$5:$E$62)=C$3)*'Leave Log'!$G$5:$G$62)</f>
        <v>0</v>
      </c>
      <c r="D17" s="24" t="n">
        <f aca="false">SUMPRODUCT(('Leave Log'!$B$5:$B$62=$A17)*('Leave Log'!$H$5:$H$62="Approved")*(MONTH('Leave Log'!$E$5:$E$62)=D$3)*'Leave Log'!$G$5:$G$62)</f>
        <v>1</v>
      </c>
      <c r="E17" s="24" t="n">
        <f aca="false">SUMPRODUCT(('Leave Log'!$B$5:$B$62=$A17)*('Leave Log'!$H$5:$H$62="Approved")*(MONTH('Leave Log'!$E$5:$E$62)=E$3)*'Leave Log'!$G$5:$G$62)</f>
        <v>0</v>
      </c>
      <c r="F17" s="24" t="n">
        <f aca="false">SUMPRODUCT(('Leave Log'!$B$5:$B$62=$A17)*('Leave Log'!$H$5:$H$62="Approved")*(MONTH('Leave Log'!$E$5:$E$62)=F$3)*'Leave Log'!$G$5:$G$62)</f>
        <v>2</v>
      </c>
      <c r="G17" s="24" t="n">
        <f aca="false">SUMPRODUCT(('Leave Log'!$B$5:$B$62=$A17)*('Leave Log'!$H$5:$H$62="Approved")*(MONTH('Leave Log'!$E$5:$E$62)=G$3)*'Leave Log'!$G$5:$G$62)</f>
        <v>0</v>
      </c>
      <c r="H17" s="24" t="n">
        <f aca="false">SUMPRODUCT(('Leave Log'!$B$5:$B$62=$A17)*('Leave Log'!$H$5:$H$62="Approved")*(MONTH('Leave Log'!$E$5:$E$62)=H$3)*'Leave Log'!$G$5:$G$62)</f>
        <v>0</v>
      </c>
      <c r="I17" s="24" t="n">
        <f aca="false">SUMPRODUCT(('Leave Log'!$B$5:$B$62=$A17)*('Leave Log'!$H$5:$H$62="Approved")*(MONTH('Leave Log'!$E$5:$E$62)=I$3)*'Leave Log'!$G$5:$G$62)</f>
        <v>5</v>
      </c>
      <c r="J17" s="24" t="n">
        <f aca="false">SUMPRODUCT(('Leave Log'!$B$5:$B$62=$A17)*('Leave Log'!$H$5:$H$62="Approved")*(MONTH('Leave Log'!$E$5:$E$62)=J$3)*'Leave Log'!$G$5:$G$62)</f>
        <v>0</v>
      </c>
      <c r="K17" s="24" t="n">
        <f aca="false">SUMPRODUCT(('Leave Log'!$B$5:$B$62=$A17)*('Leave Log'!$H$5:$H$62="Approved")*(MONTH('Leave Log'!$E$5:$E$62)=K$3)*'Leave Log'!$G$5:$G$62)</f>
        <v>0</v>
      </c>
      <c r="L17" s="24" t="n">
        <f aca="false">SUMPRODUCT(('Leave Log'!$B$5:$B$62=$A17)*('Leave Log'!$H$5:$H$62="Approved")*(MONTH('Leave Log'!$E$5:$E$62)=L$3)*'Leave Log'!$G$5:$G$62)</f>
        <v>0</v>
      </c>
      <c r="M17" s="24" t="n">
        <f aca="false">SUMPRODUCT(('Leave Log'!$B$5:$B$62=$A17)*('Leave Log'!$H$5:$H$62="Approved")*(MONTH('Leave Log'!$E$5:$E$62)=M$3)*'Leave Log'!$G$5:$G$62)</f>
        <v>0</v>
      </c>
      <c r="N17" s="24" t="n">
        <f aca="false">SUMPRODUCT(('Leave Log'!$B$5:$B$62=$A17)*('Leave Log'!$H$5:$H$62="Approved")*(MONTH('Leave Log'!$E$5:$E$62)=N$3)*'Leave Log'!$G$5:$G$62)</f>
        <v>0</v>
      </c>
      <c r="O17" s="25" t="n">
        <f aca="false">SUM(C17:N17)</f>
        <v>8</v>
      </c>
    </row>
    <row r="18" customFormat="false" ht="15" hidden="false" customHeight="false" outlineLevel="0" collapsed="false">
      <c r="A18" s="26" t="s">
        <v>51</v>
      </c>
      <c r="B18" s="26" t="s">
        <v>52</v>
      </c>
      <c r="C18" s="27" t="n">
        <f aca="false">SUMPRODUCT(('Leave Log'!$B$5:$B$62=$A18)*('Leave Log'!$H$5:$H$62="Approved")*(MONTH('Leave Log'!$E$5:$E$62)=C$3)*'Leave Log'!$G$5:$G$62)</f>
        <v>0</v>
      </c>
      <c r="D18" s="27" t="n">
        <f aca="false">SUMPRODUCT(('Leave Log'!$B$5:$B$62=$A18)*('Leave Log'!$H$5:$H$62="Approved")*(MONTH('Leave Log'!$E$5:$E$62)=D$3)*'Leave Log'!$G$5:$G$62)</f>
        <v>0</v>
      </c>
      <c r="E18" s="27" t="n">
        <f aca="false">SUMPRODUCT(('Leave Log'!$B$5:$B$62=$A18)*('Leave Log'!$H$5:$H$62="Approved")*(MONTH('Leave Log'!$E$5:$E$62)=E$3)*'Leave Log'!$G$5:$G$62)</f>
        <v>3</v>
      </c>
      <c r="F18" s="27" t="n">
        <f aca="false">SUMPRODUCT(('Leave Log'!$B$5:$B$62=$A18)*('Leave Log'!$H$5:$H$62="Approved")*(MONTH('Leave Log'!$E$5:$E$62)=F$3)*'Leave Log'!$G$5:$G$62)</f>
        <v>0</v>
      </c>
      <c r="G18" s="27" t="n">
        <f aca="false">SUMPRODUCT(('Leave Log'!$B$5:$B$62=$A18)*('Leave Log'!$H$5:$H$62="Approved")*(MONTH('Leave Log'!$E$5:$E$62)=G$3)*'Leave Log'!$G$5:$G$62)</f>
        <v>5</v>
      </c>
      <c r="H18" s="27" t="n">
        <f aca="false">SUMPRODUCT(('Leave Log'!$B$5:$B$62=$A18)*('Leave Log'!$H$5:$H$62="Approved")*(MONTH('Leave Log'!$E$5:$E$62)=H$3)*'Leave Log'!$G$5:$G$62)</f>
        <v>0</v>
      </c>
      <c r="I18" s="27" t="n">
        <f aca="false">SUMPRODUCT(('Leave Log'!$B$5:$B$62=$A18)*('Leave Log'!$H$5:$H$62="Approved")*(MONTH('Leave Log'!$E$5:$E$62)=I$3)*'Leave Log'!$G$5:$G$62)</f>
        <v>0</v>
      </c>
      <c r="J18" s="27" t="n">
        <f aca="false">SUMPRODUCT(('Leave Log'!$B$5:$B$62=$A18)*('Leave Log'!$H$5:$H$62="Approved")*(MONTH('Leave Log'!$E$5:$E$62)=J$3)*'Leave Log'!$G$5:$G$62)</f>
        <v>0</v>
      </c>
      <c r="K18" s="27" t="n">
        <f aca="false">SUMPRODUCT(('Leave Log'!$B$5:$B$62=$A18)*('Leave Log'!$H$5:$H$62="Approved")*(MONTH('Leave Log'!$E$5:$E$62)=K$3)*'Leave Log'!$G$5:$G$62)</f>
        <v>1</v>
      </c>
      <c r="L18" s="27" t="n">
        <f aca="false">SUMPRODUCT(('Leave Log'!$B$5:$B$62=$A18)*('Leave Log'!$H$5:$H$62="Approved")*(MONTH('Leave Log'!$E$5:$E$62)=L$3)*'Leave Log'!$G$5:$G$62)</f>
        <v>0</v>
      </c>
      <c r="M18" s="27" t="n">
        <f aca="false">SUMPRODUCT(('Leave Log'!$B$5:$B$62=$A18)*('Leave Log'!$H$5:$H$62="Approved")*(MONTH('Leave Log'!$E$5:$E$62)=M$3)*'Leave Log'!$G$5:$G$62)</f>
        <v>0</v>
      </c>
      <c r="N18" s="27" t="n">
        <f aca="false">SUMPRODUCT(('Leave Log'!$B$5:$B$62=$A18)*('Leave Log'!$H$5:$H$62="Approved")*(MONTH('Leave Log'!$E$5:$E$62)=N$3)*'Leave Log'!$G$5:$G$62)</f>
        <v>0</v>
      </c>
      <c r="O18" s="28" t="n">
        <f aca="false">SUM(C18:N18)</f>
        <v>9</v>
      </c>
    </row>
    <row r="19" customFormat="false" ht="15" hidden="false" customHeight="false" outlineLevel="0" collapsed="false">
      <c r="A19" s="23" t="s">
        <v>53</v>
      </c>
      <c r="B19" s="23" t="s">
        <v>54</v>
      </c>
      <c r="C19" s="24" t="n">
        <f aca="false">SUMPRODUCT(('Leave Log'!$B$5:$B$62=$A19)*('Leave Log'!$H$5:$H$62="Approved")*(MONTH('Leave Log'!$E$5:$E$62)=C$3)*'Leave Log'!$G$5:$G$62)</f>
        <v>0</v>
      </c>
      <c r="D19" s="24" t="n">
        <f aca="false">SUMPRODUCT(('Leave Log'!$B$5:$B$62=$A19)*('Leave Log'!$H$5:$H$62="Approved")*(MONTH('Leave Log'!$E$5:$E$62)=D$3)*'Leave Log'!$G$5:$G$62)</f>
        <v>1</v>
      </c>
      <c r="E19" s="24" t="n">
        <f aca="false">SUMPRODUCT(('Leave Log'!$B$5:$B$62=$A19)*('Leave Log'!$H$5:$H$62="Approved")*(MONTH('Leave Log'!$E$5:$E$62)=E$3)*'Leave Log'!$G$5:$G$62)</f>
        <v>0</v>
      </c>
      <c r="F19" s="24" t="n">
        <f aca="false">SUMPRODUCT(('Leave Log'!$B$5:$B$62=$A19)*('Leave Log'!$H$5:$H$62="Approved")*(MONTH('Leave Log'!$E$5:$E$62)=F$3)*'Leave Log'!$G$5:$G$62)</f>
        <v>0</v>
      </c>
      <c r="G19" s="24" t="n">
        <f aca="false">SUMPRODUCT(('Leave Log'!$B$5:$B$62=$A19)*('Leave Log'!$H$5:$H$62="Approved")*(MONTH('Leave Log'!$E$5:$E$62)=G$3)*'Leave Log'!$G$5:$G$62)</f>
        <v>0</v>
      </c>
      <c r="H19" s="24" t="n">
        <f aca="false">SUMPRODUCT(('Leave Log'!$B$5:$B$62=$A19)*('Leave Log'!$H$5:$H$62="Approved")*(MONTH('Leave Log'!$E$5:$E$62)=H$3)*'Leave Log'!$G$5:$G$62)</f>
        <v>0</v>
      </c>
      <c r="I19" s="24" t="n">
        <f aca="false">SUMPRODUCT(('Leave Log'!$B$5:$B$62=$A19)*('Leave Log'!$H$5:$H$62="Approved")*(MONTH('Leave Log'!$E$5:$E$62)=I$3)*'Leave Log'!$G$5:$G$62)</f>
        <v>0</v>
      </c>
      <c r="J19" s="24" t="n">
        <f aca="false">SUMPRODUCT(('Leave Log'!$B$5:$B$62=$A19)*('Leave Log'!$H$5:$H$62="Approved")*(MONTH('Leave Log'!$E$5:$E$62)=J$3)*'Leave Log'!$G$5:$G$62)</f>
        <v>5</v>
      </c>
      <c r="K19" s="24" t="n">
        <f aca="false">SUMPRODUCT(('Leave Log'!$B$5:$B$62=$A19)*('Leave Log'!$H$5:$H$62="Approved")*(MONTH('Leave Log'!$E$5:$E$62)=K$3)*'Leave Log'!$G$5:$G$62)</f>
        <v>0</v>
      </c>
      <c r="L19" s="24" t="n">
        <f aca="false">SUMPRODUCT(('Leave Log'!$B$5:$B$62=$A19)*('Leave Log'!$H$5:$H$62="Approved")*(MONTH('Leave Log'!$E$5:$E$62)=L$3)*'Leave Log'!$G$5:$G$62)</f>
        <v>0</v>
      </c>
      <c r="M19" s="24" t="n">
        <f aca="false">SUMPRODUCT(('Leave Log'!$B$5:$B$62=$A19)*('Leave Log'!$H$5:$H$62="Approved")*(MONTH('Leave Log'!$E$5:$E$62)=M$3)*'Leave Log'!$G$5:$G$62)</f>
        <v>0</v>
      </c>
      <c r="N19" s="24" t="n">
        <f aca="false">SUMPRODUCT(('Leave Log'!$B$5:$B$62=$A19)*('Leave Log'!$H$5:$H$62="Approved")*(MONTH('Leave Log'!$E$5:$E$62)=N$3)*'Leave Log'!$G$5:$G$62)</f>
        <v>0</v>
      </c>
      <c r="O19" s="25" t="n">
        <f aca="false">SUM(C19:N19)</f>
        <v>6</v>
      </c>
    </row>
    <row r="20" customFormat="false" ht="15" hidden="false" customHeight="false" outlineLevel="0" collapsed="false">
      <c r="A20" s="26" t="s">
        <v>55</v>
      </c>
      <c r="B20" s="26" t="s">
        <v>56</v>
      </c>
      <c r="C20" s="27" t="n">
        <f aca="false">SUMPRODUCT(('Leave Log'!$B$5:$B$62=$A20)*('Leave Log'!$H$5:$H$62="Approved")*(MONTH('Leave Log'!$E$5:$E$62)=C$3)*'Leave Log'!$G$5:$G$62)</f>
        <v>1</v>
      </c>
      <c r="D20" s="27" t="n">
        <f aca="false">SUMPRODUCT(('Leave Log'!$B$5:$B$62=$A20)*('Leave Log'!$H$5:$H$62="Approved")*(MONTH('Leave Log'!$E$5:$E$62)=D$3)*'Leave Log'!$G$5:$G$62)</f>
        <v>0</v>
      </c>
      <c r="E20" s="27" t="n">
        <f aca="false">SUMPRODUCT(('Leave Log'!$B$5:$B$62=$A20)*('Leave Log'!$H$5:$H$62="Approved")*(MONTH('Leave Log'!$E$5:$E$62)=E$3)*'Leave Log'!$G$5:$G$62)</f>
        <v>0</v>
      </c>
      <c r="F20" s="27" t="n">
        <f aca="false">SUMPRODUCT(('Leave Log'!$B$5:$B$62=$A20)*('Leave Log'!$H$5:$H$62="Approved")*(MONTH('Leave Log'!$E$5:$E$62)=F$3)*'Leave Log'!$G$5:$G$62)</f>
        <v>0</v>
      </c>
      <c r="G20" s="27" t="n">
        <f aca="false">SUMPRODUCT(('Leave Log'!$B$5:$B$62=$A20)*('Leave Log'!$H$5:$H$62="Approved")*(MONTH('Leave Log'!$E$5:$E$62)=G$3)*'Leave Log'!$G$5:$G$62)</f>
        <v>0</v>
      </c>
      <c r="H20" s="27" t="n">
        <f aca="false">SUMPRODUCT(('Leave Log'!$B$5:$B$62=$A20)*('Leave Log'!$H$5:$H$62="Approved")*(MONTH('Leave Log'!$E$5:$E$62)=H$3)*'Leave Log'!$G$5:$G$62)</f>
        <v>2</v>
      </c>
      <c r="I20" s="27" t="n">
        <f aca="false">SUMPRODUCT(('Leave Log'!$B$5:$B$62=$A20)*('Leave Log'!$H$5:$H$62="Approved")*(MONTH('Leave Log'!$E$5:$E$62)=I$3)*'Leave Log'!$G$5:$G$62)</f>
        <v>0</v>
      </c>
      <c r="J20" s="27" t="n">
        <f aca="false">SUMPRODUCT(('Leave Log'!$B$5:$B$62=$A20)*('Leave Log'!$H$5:$H$62="Approved")*(MONTH('Leave Log'!$E$5:$E$62)=J$3)*'Leave Log'!$G$5:$G$62)</f>
        <v>0</v>
      </c>
      <c r="K20" s="27" t="n">
        <f aca="false">SUMPRODUCT(('Leave Log'!$B$5:$B$62=$A20)*('Leave Log'!$H$5:$H$62="Approved")*(MONTH('Leave Log'!$E$5:$E$62)=K$3)*'Leave Log'!$G$5:$G$62)</f>
        <v>5</v>
      </c>
      <c r="L20" s="27" t="n">
        <f aca="false">SUMPRODUCT(('Leave Log'!$B$5:$B$62=$A20)*('Leave Log'!$H$5:$H$62="Approved")*(MONTH('Leave Log'!$E$5:$E$62)=L$3)*'Leave Log'!$G$5:$G$62)</f>
        <v>0</v>
      </c>
      <c r="M20" s="27" t="n">
        <f aca="false">SUMPRODUCT(('Leave Log'!$B$5:$B$62=$A20)*('Leave Log'!$H$5:$H$62="Approved")*(MONTH('Leave Log'!$E$5:$E$62)=M$3)*'Leave Log'!$G$5:$G$62)</f>
        <v>0</v>
      </c>
      <c r="N20" s="27" t="n">
        <f aca="false">SUMPRODUCT(('Leave Log'!$B$5:$B$62=$A20)*('Leave Log'!$H$5:$H$62="Approved")*(MONTH('Leave Log'!$E$5:$E$62)=N$3)*'Leave Log'!$G$5:$G$62)</f>
        <v>0</v>
      </c>
      <c r="O20" s="28" t="n">
        <f aca="false">SUM(C20:N20)</f>
        <v>8</v>
      </c>
    </row>
    <row r="21" customFormat="false" ht="15" hidden="false" customHeight="false" outlineLevel="0" collapsed="false">
      <c r="A21" s="23" t="s">
        <v>57</v>
      </c>
      <c r="B21" s="23" t="s">
        <v>58</v>
      </c>
      <c r="C21" s="24" t="n">
        <f aca="false">SUMPRODUCT(('Leave Log'!$B$5:$B$62=$A21)*('Leave Log'!$H$5:$H$62="Approved")*(MONTH('Leave Log'!$E$5:$E$62)=C$3)*'Leave Log'!$G$5:$G$62)</f>
        <v>0</v>
      </c>
      <c r="D21" s="24" t="n">
        <f aca="false">SUMPRODUCT(('Leave Log'!$B$5:$B$62=$A21)*('Leave Log'!$H$5:$H$62="Approved")*(MONTH('Leave Log'!$E$5:$E$62)=D$3)*'Leave Log'!$G$5:$G$62)</f>
        <v>0</v>
      </c>
      <c r="E21" s="24" t="n">
        <f aca="false">SUMPRODUCT(('Leave Log'!$B$5:$B$62=$A21)*('Leave Log'!$H$5:$H$62="Approved")*(MONTH('Leave Log'!$E$5:$E$62)=E$3)*'Leave Log'!$G$5:$G$62)</f>
        <v>0</v>
      </c>
      <c r="F21" s="24" t="n">
        <f aca="false">SUMPRODUCT(('Leave Log'!$B$5:$B$62=$A21)*('Leave Log'!$H$5:$H$62="Approved")*(MONTH('Leave Log'!$E$5:$E$62)=F$3)*'Leave Log'!$G$5:$G$62)</f>
        <v>4</v>
      </c>
      <c r="G21" s="24" t="n">
        <f aca="false">SUMPRODUCT(('Leave Log'!$B$5:$B$62=$A21)*('Leave Log'!$H$5:$H$62="Approved")*(MONTH('Leave Log'!$E$5:$E$62)=G$3)*'Leave Log'!$G$5:$G$62)</f>
        <v>2</v>
      </c>
      <c r="H21" s="24" t="n">
        <f aca="false">SUMPRODUCT(('Leave Log'!$B$5:$B$62=$A21)*('Leave Log'!$H$5:$H$62="Approved")*(MONTH('Leave Log'!$E$5:$E$62)=H$3)*'Leave Log'!$G$5:$G$62)</f>
        <v>0</v>
      </c>
      <c r="I21" s="24" t="n">
        <f aca="false">SUMPRODUCT(('Leave Log'!$B$5:$B$62=$A21)*('Leave Log'!$H$5:$H$62="Approved")*(MONTH('Leave Log'!$E$5:$E$62)=I$3)*'Leave Log'!$G$5:$G$62)</f>
        <v>1</v>
      </c>
      <c r="J21" s="24" t="n">
        <f aca="false">SUMPRODUCT(('Leave Log'!$B$5:$B$62=$A21)*('Leave Log'!$H$5:$H$62="Approved")*(MONTH('Leave Log'!$E$5:$E$62)=J$3)*'Leave Log'!$G$5:$G$62)</f>
        <v>0</v>
      </c>
      <c r="K21" s="24" t="n">
        <f aca="false">SUMPRODUCT(('Leave Log'!$B$5:$B$62=$A21)*('Leave Log'!$H$5:$H$62="Approved")*(MONTH('Leave Log'!$E$5:$E$62)=K$3)*'Leave Log'!$G$5:$G$62)</f>
        <v>0</v>
      </c>
      <c r="L21" s="24" t="n">
        <f aca="false">SUMPRODUCT(('Leave Log'!$B$5:$B$62=$A21)*('Leave Log'!$H$5:$H$62="Approved")*(MONTH('Leave Log'!$E$5:$E$62)=L$3)*'Leave Log'!$G$5:$G$62)</f>
        <v>0</v>
      </c>
      <c r="M21" s="24" t="n">
        <f aca="false">SUMPRODUCT(('Leave Log'!$B$5:$B$62=$A21)*('Leave Log'!$H$5:$H$62="Approved")*(MONTH('Leave Log'!$E$5:$E$62)=M$3)*'Leave Log'!$G$5:$G$62)</f>
        <v>0</v>
      </c>
      <c r="N21" s="24" t="n">
        <f aca="false">SUMPRODUCT(('Leave Log'!$B$5:$B$62=$A21)*('Leave Log'!$H$5:$H$62="Approved")*(MONTH('Leave Log'!$E$5:$E$62)=N$3)*'Leave Log'!$G$5:$G$62)</f>
        <v>0</v>
      </c>
      <c r="O21" s="25" t="n">
        <f aca="false">SUM(C21:N21)</f>
        <v>7</v>
      </c>
    </row>
    <row r="22" customFormat="false" ht="15" hidden="false" customHeight="false" outlineLevel="0" collapsed="false">
      <c r="A22" s="26" t="s">
        <v>60</v>
      </c>
      <c r="B22" s="26" t="s">
        <v>61</v>
      </c>
      <c r="C22" s="27" t="n">
        <f aca="false">SUMPRODUCT(('Leave Log'!$B$5:$B$62=$A22)*('Leave Log'!$H$5:$H$62="Approved")*(MONTH('Leave Log'!$E$5:$E$62)=C$3)*'Leave Log'!$G$5:$G$62)</f>
        <v>0</v>
      </c>
      <c r="D22" s="27" t="n">
        <f aca="false">SUMPRODUCT(('Leave Log'!$B$5:$B$62=$A22)*('Leave Log'!$H$5:$H$62="Approved")*(MONTH('Leave Log'!$E$5:$E$62)=D$3)*'Leave Log'!$G$5:$G$62)</f>
        <v>0</v>
      </c>
      <c r="E22" s="27" t="n">
        <f aca="false">SUMPRODUCT(('Leave Log'!$B$5:$B$62=$A22)*('Leave Log'!$H$5:$H$62="Approved")*(MONTH('Leave Log'!$E$5:$E$62)=E$3)*'Leave Log'!$G$5:$G$62)</f>
        <v>5</v>
      </c>
      <c r="F22" s="27" t="n">
        <f aca="false">SUMPRODUCT(('Leave Log'!$B$5:$B$62=$A22)*('Leave Log'!$H$5:$H$62="Approved")*(MONTH('Leave Log'!$E$5:$E$62)=F$3)*'Leave Log'!$G$5:$G$62)</f>
        <v>0</v>
      </c>
      <c r="G22" s="27" t="n">
        <f aca="false">SUMPRODUCT(('Leave Log'!$B$5:$B$62=$A22)*('Leave Log'!$H$5:$H$62="Approved")*(MONTH('Leave Log'!$E$5:$E$62)=G$3)*'Leave Log'!$G$5:$G$62)</f>
        <v>0</v>
      </c>
      <c r="H22" s="27" t="n">
        <f aca="false">SUMPRODUCT(('Leave Log'!$B$5:$B$62=$A22)*('Leave Log'!$H$5:$H$62="Approved")*(MONTH('Leave Log'!$E$5:$E$62)=H$3)*'Leave Log'!$G$5:$G$62)</f>
        <v>0</v>
      </c>
      <c r="I22" s="27" t="n">
        <f aca="false">SUMPRODUCT(('Leave Log'!$B$5:$B$62=$A22)*('Leave Log'!$H$5:$H$62="Approved")*(MONTH('Leave Log'!$E$5:$E$62)=I$3)*'Leave Log'!$G$5:$G$62)</f>
        <v>0</v>
      </c>
      <c r="J22" s="27" t="n">
        <f aca="false">SUMPRODUCT(('Leave Log'!$B$5:$B$62=$A22)*('Leave Log'!$H$5:$H$62="Approved")*(MONTH('Leave Log'!$E$5:$E$62)=J$3)*'Leave Log'!$G$5:$G$62)</f>
        <v>1</v>
      </c>
      <c r="K22" s="27" t="n">
        <f aca="false">SUMPRODUCT(('Leave Log'!$B$5:$B$62=$A22)*('Leave Log'!$H$5:$H$62="Approved")*(MONTH('Leave Log'!$E$5:$E$62)=K$3)*'Leave Log'!$G$5:$G$62)</f>
        <v>0</v>
      </c>
      <c r="L22" s="27" t="n">
        <f aca="false">SUMPRODUCT(('Leave Log'!$B$5:$B$62=$A22)*('Leave Log'!$H$5:$H$62="Approved")*(MONTH('Leave Log'!$E$5:$E$62)=L$3)*'Leave Log'!$G$5:$G$62)</f>
        <v>0</v>
      </c>
      <c r="M22" s="27" t="n">
        <f aca="false">SUMPRODUCT(('Leave Log'!$B$5:$B$62=$A22)*('Leave Log'!$H$5:$H$62="Approved")*(MONTH('Leave Log'!$E$5:$E$62)=M$3)*'Leave Log'!$G$5:$G$62)</f>
        <v>0</v>
      </c>
      <c r="N22" s="27" t="n">
        <f aca="false">SUMPRODUCT(('Leave Log'!$B$5:$B$62=$A22)*('Leave Log'!$H$5:$H$62="Approved")*(MONTH('Leave Log'!$E$5:$E$62)=N$3)*'Leave Log'!$G$5:$G$62)</f>
        <v>0</v>
      </c>
      <c r="O22" s="28" t="n">
        <f aca="false">SUM(C22:N22)</f>
        <v>6</v>
      </c>
    </row>
    <row r="23" customFormat="false" ht="15" hidden="false" customHeight="false" outlineLevel="0" collapsed="false">
      <c r="A23" s="23" t="s">
        <v>62</v>
      </c>
      <c r="B23" s="23" t="s">
        <v>63</v>
      </c>
      <c r="C23" s="24" t="n">
        <f aca="false">SUMPRODUCT(('Leave Log'!$B$5:$B$62=$A23)*('Leave Log'!$H$5:$H$62="Approved")*(MONTH('Leave Log'!$E$5:$E$62)=C$3)*'Leave Log'!$G$5:$G$62)</f>
        <v>0</v>
      </c>
      <c r="D23" s="24" t="n">
        <f aca="false">SUMPRODUCT(('Leave Log'!$B$5:$B$62=$A23)*('Leave Log'!$H$5:$H$62="Approved")*(MONTH('Leave Log'!$E$5:$E$62)=D$3)*'Leave Log'!$G$5:$G$62)</f>
        <v>0</v>
      </c>
      <c r="E23" s="24" t="n">
        <f aca="false">SUMPRODUCT(('Leave Log'!$B$5:$B$62=$A23)*('Leave Log'!$H$5:$H$62="Approved")*(MONTH('Leave Log'!$E$5:$E$62)=E$3)*'Leave Log'!$G$5:$G$62)</f>
        <v>0</v>
      </c>
      <c r="F23" s="24" t="n">
        <f aca="false">SUMPRODUCT(('Leave Log'!$B$5:$B$62=$A23)*('Leave Log'!$H$5:$H$62="Approved")*(MONTH('Leave Log'!$E$5:$E$62)=F$3)*'Leave Log'!$G$5:$G$62)</f>
        <v>2</v>
      </c>
      <c r="G23" s="24" t="n">
        <f aca="false">SUMPRODUCT(('Leave Log'!$B$5:$B$62=$A23)*('Leave Log'!$H$5:$H$62="Approved")*(MONTH('Leave Log'!$E$5:$E$62)=G$3)*'Leave Log'!$G$5:$G$62)</f>
        <v>0</v>
      </c>
      <c r="H23" s="24" t="n">
        <f aca="false">SUMPRODUCT(('Leave Log'!$B$5:$B$62=$A23)*('Leave Log'!$H$5:$H$62="Approved")*(MONTH('Leave Log'!$E$5:$E$62)=H$3)*'Leave Log'!$G$5:$G$62)</f>
        <v>1</v>
      </c>
      <c r="I23" s="24" t="n">
        <f aca="false">SUMPRODUCT(('Leave Log'!$B$5:$B$62=$A23)*('Leave Log'!$H$5:$H$62="Approved")*(MONTH('Leave Log'!$E$5:$E$62)=I$3)*'Leave Log'!$G$5:$G$62)</f>
        <v>3</v>
      </c>
      <c r="J23" s="24" t="n">
        <f aca="false">SUMPRODUCT(('Leave Log'!$B$5:$B$62=$A23)*('Leave Log'!$H$5:$H$62="Approved")*(MONTH('Leave Log'!$E$5:$E$62)=J$3)*'Leave Log'!$G$5:$G$62)</f>
        <v>1</v>
      </c>
      <c r="K23" s="24" t="n">
        <f aca="false">SUMPRODUCT(('Leave Log'!$B$5:$B$62=$A23)*('Leave Log'!$H$5:$H$62="Approved")*(MONTH('Leave Log'!$E$5:$E$62)=K$3)*'Leave Log'!$G$5:$G$62)</f>
        <v>0</v>
      </c>
      <c r="L23" s="24" t="n">
        <f aca="false">SUMPRODUCT(('Leave Log'!$B$5:$B$62=$A23)*('Leave Log'!$H$5:$H$62="Approved")*(MONTH('Leave Log'!$E$5:$E$62)=L$3)*'Leave Log'!$G$5:$G$62)</f>
        <v>0</v>
      </c>
      <c r="M23" s="24" t="n">
        <f aca="false">SUMPRODUCT(('Leave Log'!$B$5:$B$62=$A23)*('Leave Log'!$H$5:$H$62="Approved")*(MONTH('Leave Log'!$E$5:$E$62)=M$3)*'Leave Log'!$G$5:$G$62)</f>
        <v>0</v>
      </c>
      <c r="N23" s="24" t="n">
        <f aca="false">SUMPRODUCT(('Leave Log'!$B$5:$B$62=$A23)*('Leave Log'!$H$5:$H$62="Approved")*(MONTH('Leave Log'!$E$5:$E$62)=N$3)*'Leave Log'!$G$5:$G$62)</f>
        <v>0</v>
      </c>
      <c r="O23" s="25" t="n">
        <f aca="false">SUM(C23:N23)</f>
        <v>7</v>
      </c>
    </row>
    <row r="24" customFormat="false" ht="15" hidden="false" customHeight="false" outlineLevel="0" collapsed="false">
      <c r="A24" s="26" t="s">
        <v>65</v>
      </c>
      <c r="B24" s="26" t="s">
        <v>66</v>
      </c>
      <c r="C24" s="27" t="n">
        <f aca="false">SUMPRODUCT(('Leave Log'!$B$5:$B$62=$A24)*('Leave Log'!$H$5:$H$62="Approved")*(MONTH('Leave Log'!$E$5:$E$62)=C$3)*'Leave Log'!$G$5:$G$62)</f>
        <v>0</v>
      </c>
      <c r="D24" s="27" t="n">
        <f aca="false">SUMPRODUCT(('Leave Log'!$B$5:$B$62=$A24)*('Leave Log'!$H$5:$H$62="Approved")*(MONTH('Leave Log'!$E$5:$E$62)=D$3)*'Leave Log'!$G$5:$G$62)</f>
        <v>0</v>
      </c>
      <c r="E24" s="27" t="n">
        <f aca="false">SUMPRODUCT(('Leave Log'!$B$5:$B$62=$A24)*('Leave Log'!$H$5:$H$62="Approved")*(MONTH('Leave Log'!$E$5:$E$62)=E$3)*'Leave Log'!$G$5:$G$62)</f>
        <v>1</v>
      </c>
      <c r="F24" s="27" t="n">
        <f aca="false">SUMPRODUCT(('Leave Log'!$B$5:$B$62=$A24)*('Leave Log'!$H$5:$H$62="Approved")*(MONTH('Leave Log'!$E$5:$E$62)=F$3)*'Leave Log'!$G$5:$G$62)</f>
        <v>0</v>
      </c>
      <c r="G24" s="27" t="n">
        <f aca="false">SUMPRODUCT(('Leave Log'!$B$5:$B$62=$A24)*('Leave Log'!$H$5:$H$62="Approved")*(MONTH('Leave Log'!$E$5:$E$62)=G$3)*'Leave Log'!$G$5:$G$62)</f>
        <v>3</v>
      </c>
      <c r="H24" s="27" t="n">
        <f aca="false">SUMPRODUCT(('Leave Log'!$B$5:$B$62=$A24)*('Leave Log'!$H$5:$H$62="Approved")*(MONTH('Leave Log'!$E$5:$E$62)=H$3)*'Leave Log'!$G$5:$G$62)</f>
        <v>0</v>
      </c>
      <c r="I24" s="27" t="n">
        <f aca="false">SUMPRODUCT(('Leave Log'!$B$5:$B$62=$A24)*('Leave Log'!$H$5:$H$62="Approved")*(MONTH('Leave Log'!$E$5:$E$62)=I$3)*'Leave Log'!$G$5:$G$62)</f>
        <v>0</v>
      </c>
      <c r="J24" s="27" t="n">
        <f aca="false">SUMPRODUCT(('Leave Log'!$B$5:$B$62=$A24)*('Leave Log'!$H$5:$H$62="Approved")*(MONTH('Leave Log'!$E$5:$E$62)=J$3)*'Leave Log'!$G$5:$G$62)</f>
        <v>0</v>
      </c>
      <c r="K24" s="27" t="n">
        <f aca="false">SUMPRODUCT(('Leave Log'!$B$5:$B$62=$A24)*('Leave Log'!$H$5:$H$62="Approved")*(MONTH('Leave Log'!$E$5:$E$62)=K$3)*'Leave Log'!$G$5:$G$62)</f>
        <v>1</v>
      </c>
      <c r="L24" s="27" t="n">
        <f aca="false">SUMPRODUCT(('Leave Log'!$B$5:$B$62=$A24)*('Leave Log'!$H$5:$H$62="Approved")*(MONTH('Leave Log'!$E$5:$E$62)=L$3)*'Leave Log'!$G$5:$G$62)</f>
        <v>0</v>
      </c>
      <c r="M24" s="27" t="n">
        <f aca="false">SUMPRODUCT(('Leave Log'!$B$5:$B$62=$A24)*('Leave Log'!$H$5:$H$62="Approved")*(MONTH('Leave Log'!$E$5:$E$62)=M$3)*'Leave Log'!$G$5:$G$62)</f>
        <v>0</v>
      </c>
      <c r="N24" s="27" t="n">
        <f aca="false">SUMPRODUCT(('Leave Log'!$B$5:$B$62=$A24)*('Leave Log'!$H$5:$H$62="Approved")*(MONTH('Leave Log'!$E$5:$E$62)=N$3)*'Leave Log'!$G$5:$G$62)</f>
        <v>0</v>
      </c>
      <c r="O24" s="28" t="n">
        <f aca="false">SUM(C24:N24)</f>
        <v>5</v>
      </c>
    </row>
    <row r="25" customFormat="false" ht="15" hidden="false" customHeight="false" outlineLevel="0" collapsed="false">
      <c r="A25" s="12" t="s">
        <v>67</v>
      </c>
      <c r="B25" s="12"/>
      <c r="C25" s="29" t="n">
        <f aca="false">SUM(C5:C24)</f>
        <v>8</v>
      </c>
      <c r="D25" s="29" t="n">
        <f aca="false">SUM(D5:D24)</f>
        <v>11</v>
      </c>
      <c r="E25" s="29" t="n">
        <f aca="false">SUM(E5:E24)</f>
        <v>21</v>
      </c>
      <c r="F25" s="29" t="n">
        <f aca="false">SUM(F5:F24)</f>
        <v>18</v>
      </c>
      <c r="G25" s="29" t="n">
        <f aca="false">SUM(G5:G24)</f>
        <v>21</v>
      </c>
      <c r="H25" s="29" t="n">
        <f aca="false">SUM(H5:H24)</f>
        <v>17</v>
      </c>
      <c r="I25" s="29" t="n">
        <f aca="false">SUM(I5:I24)</f>
        <v>19</v>
      </c>
      <c r="J25" s="29" t="n">
        <f aca="false">SUM(J5:J24)</f>
        <v>21</v>
      </c>
      <c r="K25" s="29" t="n">
        <f aca="false">SUM(K5:K24)</f>
        <v>19</v>
      </c>
      <c r="L25" s="29" t="n">
        <f aca="false">SUM(L5:L24)</f>
        <v>2</v>
      </c>
      <c r="M25" s="29" t="n">
        <f aca="false">SUM(M5:M24)</f>
        <v>0</v>
      </c>
      <c r="N25" s="29" t="n">
        <f aca="false">SUM(N5:N24)</f>
        <v>0</v>
      </c>
      <c r="O25" s="29" t="n">
        <f aca="false">SUM(O5:O24)</f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2" min="3" style="0" width="3.61"/>
    <col collapsed="false" customWidth="true" hidden="false" outlineLevel="0" max="34" min="33" style="0" width="10"/>
    <col collapsed="false" customWidth="true" hidden="false" outlineLevel="0" max="37" min="35" style="0" width="9"/>
    <col collapsed="false" customWidth="true" hidden="false" outlineLevel="0" max="38" min="38" style="0" width="8"/>
    <col collapsed="false" customWidth="true" hidden="false" outlineLevel="0" max="39" min="39" style="0" width="10"/>
    <col collapsed="false" customWidth="true" hidden="false" outlineLevel="0" max="40" min="40" style="0" width="8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39.75" hidden="false" customHeight="true" outlineLevel="0" collapsed="false">
      <c r="A4" s="3" t="s">
        <v>2</v>
      </c>
      <c r="B4" s="3" t="s">
        <v>3</v>
      </c>
      <c r="C4" s="30" t="n">
        <v>46266</v>
      </c>
      <c r="D4" s="30" t="n">
        <v>46267</v>
      </c>
      <c r="E4" s="30" t="n">
        <v>46268</v>
      </c>
      <c r="F4" s="30" t="n">
        <v>46269</v>
      </c>
      <c r="G4" s="30" t="n">
        <v>46270</v>
      </c>
      <c r="H4" s="30" t="n">
        <v>46271</v>
      </c>
      <c r="I4" s="30" t="n">
        <v>46272</v>
      </c>
      <c r="J4" s="30" t="n">
        <v>46273</v>
      </c>
      <c r="K4" s="30" t="n">
        <v>46274</v>
      </c>
      <c r="L4" s="30" t="n">
        <v>46275</v>
      </c>
      <c r="M4" s="30" t="n">
        <v>46276</v>
      </c>
      <c r="N4" s="30" t="n">
        <v>46277</v>
      </c>
      <c r="O4" s="30" t="n">
        <v>46278</v>
      </c>
      <c r="P4" s="30" t="n">
        <v>46279</v>
      </c>
      <c r="Q4" s="30" t="n">
        <v>46280</v>
      </c>
      <c r="R4" s="30" t="n">
        <v>46281</v>
      </c>
      <c r="S4" s="30" t="n">
        <v>46282</v>
      </c>
      <c r="T4" s="30" t="n">
        <v>46283</v>
      </c>
      <c r="U4" s="30" t="n">
        <v>46284</v>
      </c>
      <c r="V4" s="30" t="n">
        <v>46285</v>
      </c>
      <c r="W4" s="30" t="n">
        <v>46286</v>
      </c>
      <c r="X4" s="30" t="n">
        <v>46287</v>
      </c>
      <c r="Y4" s="30" t="n">
        <v>46288</v>
      </c>
      <c r="Z4" s="30" t="n">
        <v>46289</v>
      </c>
      <c r="AA4" s="30" t="n">
        <v>46290</v>
      </c>
      <c r="AB4" s="30" t="n">
        <v>46291</v>
      </c>
      <c r="AC4" s="30" t="n">
        <v>46292</v>
      </c>
      <c r="AD4" s="30" t="n">
        <v>46293</v>
      </c>
      <c r="AE4" s="30" t="n">
        <v>46294</v>
      </c>
      <c r="AF4" s="30" t="n">
        <v>46295</v>
      </c>
      <c r="AG4" s="3" t="s">
        <v>197</v>
      </c>
      <c r="AH4" s="3" t="s">
        <v>198</v>
      </c>
      <c r="AI4" s="3" t="s">
        <v>199</v>
      </c>
      <c r="AJ4" s="3" t="s">
        <v>200</v>
      </c>
      <c r="AK4" s="3" t="s">
        <v>75</v>
      </c>
      <c r="AL4" s="3" t="s">
        <v>201</v>
      </c>
      <c r="AM4" s="3" t="s">
        <v>202</v>
      </c>
      <c r="AN4" s="3" t="s">
        <v>203</v>
      </c>
    </row>
    <row r="5" customFormat="false" ht="15" hidden="false" customHeight="false" outlineLevel="0" collapsed="false">
      <c r="C5" s="31" t="str">
        <f aca="false">LEFT(TEXT(C4,"ddd"),2)</f>
        <v>Tu</v>
      </c>
      <c r="D5" s="31" t="str">
        <f aca="false">LEFT(TEXT(D4,"ddd"),2)</f>
        <v>We</v>
      </c>
      <c r="E5" s="31" t="str">
        <f aca="false">LEFT(TEXT(E4,"ddd"),2)</f>
        <v>Th</v>
      </c>
      <c r="F5" s="31" t="str">
        <f aca="false">LEFT(TEXT(F4,"ddd"),2)</f>
        <v>Fr</v>
      </c>
      <c r="G5" s="31" t="str">
        <f aca="false">LEFT(TEXT(G4,"ddd"),2)</f>
        <v>Sa</v>
      </c>
      <c r="H5" s="31" t="str">
        <f aca="false">LEFT(TEXT(H4,"ddd"),2)</f>
        <v>Su</v>
      </c>
      <c r="I5" s="31" t="str">
        <f aca="false">LEFT(TEXT(I4,"ddd"),2)</f>
        <v>Mo</v>
      </c>
      <c r="J5" s="31" t="str">
        <f aca="false">LEFT(TEXT(J4,"ddd"),2)</f>
        <v>Tu</v>
      </c>
      <c r="K5" s="31" t="str">
        <f aca="false">LEFT(TEXT(K4,"ddd"),2)</f>
        <v>We</v>
      </c>
      <c r="L5" s="31" t="str">
        <f aca="false">LEFT(TEXT(L4,"ddd"),2)</f>
        <v>Th</v>
      </c>
      <c r="M5" s="31" t="str">
        <f aca="false">LEFT(TEXT(M4,"ddd"),2)</f>
        <v>Fr</v>
      </c>
      <c r="N5" s="31" t="str">
        <f aca="false">LEFT(TEXT(N4,"ddd"),2)</f>
        <v>Sa</v>
      </c>
      <c r="O5" s="31" t="str">
        <f aca="false">LEFT(TEXT(O4,"ddd"),2)</f>
        <v>Su</v>
      </c>
      <c r="P5" s="31" t="str">
        <f aca="false">LEFT(TEXT(P4,"ddd"),2)</f>
        <v>Mo</v>
      </c>
      <c r="Q5" s="31" t="str">
        <f aca="false">LEFT(TEXT(Q4,"ddd"),2)</f>
        <v>Tu</v>
      </c>
      <c r="R5" s="31" t="str">
        <f aca="false">LEFT(TEXT(R4,"ddd"),2)</f>
        <v>We</v>
      </c>
      <c r="S5" s="31" t="str">
        <f aca="false">LEFT(TEXT(S4,"ddd"),2)</f>
        <v>Th</v>
      </c>
      <c r="T5" s="31" t="str">
        <f aca="false">LEFT(TEXT(T4,"ddd"),2)</f>
        <v>Fr</v>
      </c>
      <c r="U5" s="31" t="str">
        <f aca="false">LEFT(TEXT(U4,"ddd"),2)</f>
        <v>Sa</v>
      </c>
      <c r="V5" s="31" t="str">
        <f aca="false">LEFT(TEXT(V4,"ddd"),2)</f>
        <v>Su</v>
      </c>
      <c r="W5" s="31" t="str">
        <f aca="false">LEFT(TEXT(W4,"ddd"),2)</f>
        <v>Mo</v>
      </c>
      <c r="X5" s="31" t="str">
        <f aca="false">LEFT(TEXT(X4,"ddd"),2)</f>
        <v>Tu</v>
      </c>
      <c r="Y5" s="31" t="str">
        <f aca="false">LEFT(TEXT(Y4,"ddd"),2)</f>
        <v>We</v>
      </c>
      <c r="Z5" s="31" t="str">
        <f aca="false">LEFT(TEXT(Z4,"ddd"),2)</f>
        <v>Th</v>
      </c>
      <c r="AA5" s="31" t="str">
        <f aca="false">LEFT(TEXT(AA4,"ddd"),2)</f>
        <v>Fr</v>
      </c>
      <c r="AB5" s="31" t="str">
        <f aca="false">LEFT(TEXT(AB4,"ddd"),2)</f>
        <v>Sa</v>
      </c>
      <c r="AC5" s="31" t="str">
        <f aca="false">LEFT(TEXT(AC4,"ddd"),2)</f>
        <v>Su</v>
      </c>
      <c r="AD5" s="31" t="str">
        <f aca="false">LEFT(TEXT(AD4,"ddd"),2)</f>
        <v>Mo</v>
      </c>
      <c r="AE5" s="31" t="str">
        <f aca="false">LEFT(TEXT(AE4,"ddd"),2)</f>
        <v>Tu</v>
      </c>
      <c r="AF5" s="31" t="str">
        <f aca="false">LEFT(TEXT(AF4,"ddd"),2)</f>
        <v>We</v>
      </c>
    </row>
    <row r="6" customFormat="false" ht="15" hidden="false" customHeight="false" outlineLevel="0" collapsed="false">
      <c r="A6" s="32" t="s">
        <v>18</v>
      </c>
      <c r="B6" s="32" t="s">
        <v>19</v>
      </c>
      <c r="C6" s="33" t="s">
        <v>204</v>
      </c>
      <c r="D6" s="33" t="s">
        <v>204</v>
      </c>
      <c r="E6" s="33" t="s">
        <v>204</v>
      </c>
      <c r="F6" s="33" t="s">
        <v>204</v>
      </c>
      <c r="G6" s="34"/>
      <c r="H6" s="34"/>
      <c r="I6" s="33" t="s">
        <v>204</v>
      </c>
      <c r="J6" s="33" t="s">
        <v>204</v>
      </c>
      <c r="K6" s="33" t="s">
        <v>204</v>
      </c>
      <c r="L6" s="33" t="s">
        <v>204</v>
      </c>
      <c r="M6" s="33" t="s">
        <v>204</v>
      </c>
      <c r="N6" s="34"/>
      <c r="O6" s="34"/>
      <c r="P6" s="33" t="s">
        <v>204</v>
      </c>
      <c r="Q6" s="33" t="s">
        <v>204</v>
      </c>
      <c r="R6" s="33" t="s">
        <v>204</v>
      </c>
      <c r="S6" s="33" t="s">
        <v>204</v>
      </c>
      <c r="T6" s="33" t="s">
        <v>204</v>
      </c>
      <c r="U6" s="34"/>
      <c r="V6" s="34"/>
      <c r="W6" s="33" t="s">
        <v>204</v>
      </c>
      <c r="X6" s="33" t="s">
        <v>204</v>
      </c>
      <c r="Y6" s="33" t="s">
        <v>204</v>
      </c>
      <c r="Z6" s="33" t="s">
        <v>204</v>
      </c>
      <c r="AA6" s="33" t="s">
        <v>204</v>
      </c>
      <c r="AB6" s="34"/>
      <c r="AC6" s="34"/>
      <c r="AD6" s="33" t="s">
        <v>204</v>
      </c>
      <c r="AE6" s="33" t="s">
        <v>204</v>
      </c>
      <c r="AF6" s="33" t="s">
        <v>204</v>
      </c>
      <c r="AG6" s="14" t="n">
        <f aca="false">COUNTIF(C6:AF6,"P")</f>
        <v>22</v>
      </c>
      <c r="AH6" s="14" t="n">
        <f aca="false">COUNTIF(C6:AF6,"W")</f>
        <v>0</v>
      </c>
      <c r="AI6" s="14" t="n">
        <f aca="false">COUNTIF(C6:AF6,"AL")+COUNTIF(C6:AF6,"SL")+COUNTIF(C6:AF6,"CL")</f>
        <v>0</v>
      </c>
      <c r="AJ6" s="35" t="n">
        <f aca="false">AG6+AH6+AI6</f>
        <v>22</v>
      </c>
      <c r="AK6" s="14" t="n">
        <f aca="false">NETWORKDAYS($C$4,$AF$4,Holidays!$A$5:$A$9)</f>
        <v>22</v>
      </c>
      <c r="AL6" s="15" t="n">
        <v>0</v>
      </c>
      <c r="AM6" s="14" t="n">
        <f aca="false">SUMIFS('Leave Log'!$G$5:$G$62,'Leave Log'!$B$5:$B$62,$A6,'Leave Log'!$H$5:$H$62,"Approved",'Leave Log'!$E$5:$E$62,"&gt;="&amp;DATE(2026,9,1),'Leave Log'!$E$5:$E$62,"&lt;="&amp;DATE(2026,9,30))</f>
        <v>0</v>
      </c>
      <c r="AN6" s="14" t="str">
        <f aca="false">IF(AI6=AM6,"OK","CHECK")</f>
        <v>OK</v>
      </c>
    </row>
    <row r="7" customFormat="false" ht="15" hidden="false" customHeight="false" outlineLevel="0" collapsed="false">
      <c r="A7" s="32" t="s">
        <v>22</v>
      </c>
      <c r="B7" s="32" t="s">
        <v>23</v>
      </c>
      <c r="C7" s="33" t="s">
        <v>204</v>
      </c>
      <c r="D7" s="36" t="s">
        <v>205</v>
      </c>
      <c r="E7" s="33" t="s">
        <v>204</v>
      </c>
      <c r="F7" s="33" t="s">
        <v>204</v>
      </c>
      <c r="G7" s="34"/>
      <c r="H7" s="34"/>
      <c r="I7" s="36" t="s">
        <v>205</v>
      </c>
      <c r="J7" s="33" t="s">
        <v>204</v>
      </c>
      <c r="K7" s="33" t="s">
        <v>204</v>
      </c>
      <c r="L7" s="33" t="s">
        <v>204</v>
      </c>
      <c r="M7" s="36" t="s">
        <v>205</v>
      </c>
      <c r="N7" s="34"/>
      <c r="O7" s="34"/>
      <c r="P7" s="37" t="s">
        <v>206</v>
      </c>
      <c r="Q7" s="33" t="s">
        <v>204</v>
      </c>
      <c r="R7" s="33" t="s">
        <v>204</v>
      </c>
      <c r="S7" s="33" t="s">
        <v>204</v>
      </c>
      <c r="T7" s="33" t="s">
        <v>204</v>
      </c>
      <c r="U7" s="34"/>
      <c r="V7" s="34"/>
      <c r="W7" s="33" t="s">
        <v>204</v>
      </c>
      <c r="X7" s="33" t="s">
        <v>204</v>
      </c>
      <c r="Y7" s="33" t="s">
        <v>204</v>
      </c>
      <c r="Z7" s="33" t="s">
        <v>204</v>
      </c>
      <c r="AA7" s="36" t="s">
        <v>205</v>
      </c>
      <c r="AB7" s="34"/>
      <c r="AC7" s="34"/>
      <c r="AD7" s="33" t="s">
        <v>204</v>
      </c>
      <c r="AE7" s="33" t="s">
        <v>204</v>
      </c>
      <c r="AF7" s="33" t="s">
        <v>204</v>
      </c>
      <c r="AG7" s="14" t="n">
        <f aca="false">COUNTIF(C7:AF7,"P")</f>
        <v>17</v>
      </c>
      <c r="AH7" s="14" t="n">
        <f aca="false">COUNTIF(C7:AF7,"W")</f>
        <v>4</v>
      </c>
      <c r="AI7" s="14" t="n">
        <f aca="false">COUNTIF(C7:AF7,"AL")+COUNTIF(C7:AF7,"SL")+COUNTIF(C7:AF7,"CL")</f>
        <v>1</v>
      </c>
      <c r="AJ7" s="35" t="n">
        <f aca="false">AG7+AH7+AI7</f>
        <v>22</v>
      </c>
      <c r="AK7" s="14" t="n">
        <f aca="false">NETWORKDAYS($C$4,$AF$4,Holidays!$A$5:$A$9)</f>
        <v>22</v>
      </c>
      <c r="AL7" s="15" t="n">
        <v>1</v>
      </c>
      <c r="AM7" s="14" t="n">
        <f aca="false">SUMIFS('Leave Log'!$G$5:$G$62,'Leave Log'!$B$5:$B$62,$A7,'Leave Log'!$H$5:$H$62,"Approved",'Leave Log'!$E$5:$E$62,"&gt;="&amp;DATE(2026,9,1),'Leave Log'!$E$5:$E$62,"&lt;="&amp;DATE(2026,9,30))</f>
        <v>1</v>
      </c>
      <c r="AN7" s="14" t="str">
        <f aca="false">IF(AI7=AM7,"OK","CHECK")</f>
        <v>OK</v>
      </c>
    </row>
    <row r="8" customFormat="false" ht="15" hidden="false" customHeight="false" outlineLevel="0" collapsed="false">
      <c r="A8" s="32" t="s">
        <v>25</v>
      </c>
      <c r="B8" s="32" t="s">
        <v>26</v>
      </c>
      <c r="C8" s="36" t="s">
        <v>205</v>
      </c>
      <c r="D8" s="33" t="s">
        <v>204</v>
      </c>
      <c r="E8" s="33" t="s">
        <v>204</v>
      </c>
      <c r="F8" s="33" t="s">
        <v>204</v>
      </c>
      <c r="G8" s="34"/>
      <c r="H8" s="34"/>
      <c r="I8" s="33" t="s">
        <v>204</v>
      </c>
      <c r="J8" s="33" t="s">
        <v>204</v>
      </c>
      <c r="K8" s="33" t="s">
        <v>204</v>
      </c>
      <c r="L8" s="33" t="s">
        <v>204</v>
      </c>
      <c r="M8" s="33" t="s">
        <v>204</v>
      </c>
      <c r="N8" s="34"/>
      <c r="O8" s="34"/>
      <c r="P8" s="36" t="s">
        <v>205</v>
      </c>
      <c r="Q8" s="33" t="s">
        <v>204</v>
      </c>
      <c r="R8" s="33" t="s">
        <v>204</v>
      </c>
      <c r="S8" s="36" t="s">
        <v>205</v>
      </c>
      <c r="T8" s="33" t="s">
        <v>204</v>
      </c>
      <c r="U8" s="34"/>
      <c r="V8" s="34"/>
      <c r="W8" s="36" t="s">
        <v>205</v>
      </c>
      <c r="X8" s="33" t="s">
        <v>204</v>
      </c>
      <c r="Y8" s="33" t="s">
        <v>204</v>
      </c>
      <c r="Z8" s="33" t="s">
        <v>204</v>
      </c>
      <c r="AA8" s="33" t="s">
        <v>204</v>
      </c>
      <c r="AB8" s="34"/>
      <c r="AC8" s="34"/>
      <c r="AD8" s="36" t="s">
        <v>205</v>
      </c>
      <c r="AE8" s="33" t="s">
        <v>204</v>
      </c>
      <c r="AF8" s="36" t="s">
        <v>205</v>
      </c>
      <c r="AG8" s="14" t="n">
        <f aca="false">COUNTIF(C8:AF8,"P")</f>
        <v>16</v>
      </c>
      <c r="AH8" s="14" t="n">
        <f aca="false">COUNTIF(C8:AF8,"W")</f>
        <v>6</v>
      </c>
      <c r="AI8" s="14" t="n">
        <f aca="false">COUNTIF(C8:AF8,"AL")+COUNTIF(C8:AF8,"SL")+COUNTIF(C8:AF8,"CL")</f>
        <v>0</v>
      </c>
      <c r="AJ8" s="35" t="n">
        <f aca="false">AG8+AH8+AI8</f>
        <v>22</v>
      </c>
      <c r="AK8" s="14" t="n">
        <f aca="false">NETWORKDAYS($C$4,$AF$4,Holidays!$A$5:$A$9)</f>
        <v>22</v>
      </c>
      <c r="AL8" s="15" t="n">
        <v>0</v>
      </c>
      <c r="AM8" s="14" t="n">
        <f aca="false">SUMIFS('Leave Log'!$G$5:$G$62,'Leave Log'!$B$5:$B$62,$A8,'Leave Log'!$H$5:$H$62,"Approved",'Leave Log'!$E$5:$E$62,"&gt;="&amp;DATE(2026,9,1),'Leave Log'!$E$5:$E$62,"&lt;="&amp;DATE(2026,9,30))</f>
        <v>0</v>
      </c>
      <c r="AN8" s="14" t="str">
        <f aca="false">IF(AI8=AM8,"OK","CHECK")</f>
        <v>OK</v>
      </c>
    </row>
    <row r="9" customFormat="false" ht="15" hidden="false" customHeight="false" outlineLevel="0" collapsed="false">
      <c r="A9" s="32" t="s">
        <v>28</v>
      </c>
      <c r="B9" s="32" t="s">
        <v>29</v>
      </c>
      <c r="C9" s="36" t="s">
        <v>205</v>
      </c>
      <c r="D9" s="33" t="s">
        <v>204</v>
      </c>
      <c r="E9" s="33" t="s">
        <v>204</v>
      </c>
      <c r="F9" s="33" t="s">
        <v>204</v>
      </c>
      <c r="G9" s="34"/>
      <c r="H9" s="34"/>
      <c r="I9" s="36" t="s">
        <v>205</v>
      </c>
      <c r="J9" s="36" t="s">
        <v>205</v>
      </c>
      <c r="K9" s="33" t="s">
        <v>204</v>
      </c>
      <c r="L9" s="33" t="s">
        <v>204</v>
      </c>
      <c r="M9" s="33" t="s">
        <v>204</v>
      </c>
      <c r="N9" s="34"/>
      <c r="O9" s="34"/>
      <c r="P9" s="33" t="s">
        <v>204</v>
      </c>
      <c r="Q9" s="33" t="s">
        <v>204</v>
      </c>
      <c r="R9" s="33" t="s">
        <v>204</v>
      </c>
      <c r="S9" s="33" t="s">
        <v>204</v>
      </c>
      <c r="T9" s="33" t="s">
        <v>204</v>
      </c>
      <c r="U9" s="34"/>
      <c r="V9" s="34"/>
      <c r="W9" s="33" t="s">
        <v>204</v>
      </c>
      <c r="X9" s="33" t="s">
        <v>204</v>
      </c>
      <c r="Y9" s="36" t="s">
        <v>205</v>
      </c>
      <c r="Z9" s="33" t="s">
        <v>204</v>
      </c>
      <c r="AA9" s="33" t="s">
        <v>204</v>
      </c>
      <c r="AB9" s="34"/>
      <c r="AC9" s="34"/>
      <c r="AD9" s="36" t="s">
        <v>205</v>
      </c>
      <c r="AE9" s="33" t="s">
        <v>204</v>
      </c>
      <c r="AF9" s="36" t="s">
        <v>205</v>
      </c>
      <c r="AG9" s="14" t="n">
        <f aca="false">COUNTIF(C9:AF9,"P")</f>
        <v>16</v>
      </c>
      <c r="AH9" s="14" t="n">
        <f aca="false">COUNTIF(C9:AF9,"W")</f>
        <v>6</v>
      </c>
      <c r="AI9" s="14" t="n">
        <f aca="false">COUNTIF(C9:AF9,"AL")+COUNTIF(C9:AF9,"SL")+COUNTIF(C9:AF9,"CL")</f>
        <v>0</v>
      </c>
      <c r="AJ9" s="35" t="n">
        <f aca="false">AG9+AH9+AI9</f>
        <v>22</v>
      </c>
      <c r="AK9" s="14" t="n">
        <f aca="false">NETWORKDAYS($C$4,$AF$4,Holidays!$A$5:$A$9)</f>
        <v>22</v>
      </c>
      <c r="AL9" s="15" t="n">
        <v>0</v>
      </c>
      <c r="AM9" s="14" t="n">
        <f aca="false">SUMIFS('Leave Log'!$G$5:$G$62,'Leave Log'!$B$5:$B$62,$A9,'Leave Log'!$H$5:$H$62,"Approved",'Leave Log'!$E$5:$E$62,"&gt;="&amp;DATE(2026,9,1),'Leave Log'!$E$5:$E$62,"&lt;="&amp;DATE(2026,9,30))</f>
        <v>0</v>
      </c>
      <c r="AN9" s="14" t="str">
        <f aca="false">IF(AI9=AM9,"OK","CHECK")</f>
        <v>OK</v>
      </c>
    </row>
    <row r="10" customFormat="false" ht="15" hidden="false" customHeight="false" outlineLevel="0" collapsed="false">
      <c r="A10" s="32" t="s">
        <v>31</v>
      </c>
      <c r="B10" s="32" t="s">
        <v>32</v>
      </c>
      <c r="C10" s="33" t="s">
        <v>204</v>
      </c>
      <c r="D10" s="36" t="s">
        <v>205</v>
      </c>
      <c r="E10" s="33" t="s">
        <v>204</v>
      </c>
      <c r="F10" s="33" t="s">
        <v>204</v>
      </c>
      <c r="G10" s="34"/>
      <c r="H10" s="34"/>
      <c r="I10" s="33" t="s">
        <v>204</v>
      </c>
      <c r="J10" s="33" t="s">
        <v>204</v>
      </c>
      <c r="K10" s="33" t="s">
        <v>204</v>
      </c>
      <c r="L10" s="33" t="s">
        <v>204</v>
      </c>
      <c r="M10" s="33" t="s">
        <v>204</v>
      </c>
      <c r="N10" s="34"/>
      <c r="O10" s="34"/>
      <c r="P10" s="33" t="s">
        <v>204</v>
      </c>
      <c r="Q10" s="33" t="s">
        <v>204</v>
      </c>
      <c r="R10" s="36" t="s">
        <v>205</v>
      </c>
      <c r="S10" s="33" t="s">
        <v>204</v>
      </c>
      <c r="T10" s="33" t="s">
        <v>204</v>
      </c>
      <c r="U10" s="34"/>
      <c r="V10" s="34"/>
      <c r="W10" s="37" t="s">
        <v>207</v>
      </c>
      <c r="X10" s="37" t="s">
        <v>207</v>
      </c>
      <c r="Y10" s="37" t="s">
        <v>207</v>
      </c>
      <c r="Z10" s="37" t="s">
        <v>207</v>
      </c>
      <c r="AA10" s="37" t="s">
        <v>207</v>
      </c>
      <c r="AB10" s="34"/>
      <c r="AC10" s="34"/>
      <c r="AD10" s="33" t="s">
        <v>204</v>
      </c>
      <c r="AE10" s="33" t="s">
        <v>204</v>
      </c>
      <c r="AF10" s="33" t="s">
        <v>204</v>
      </c>
      <c r="AG10" s="14" t="n">
        <f aca="false">COUNTIF(C10:AF10,"P")</f>
        <v>15</v>
      </c>
      <c r="AH10" s="14" t="n">
        <f aca="false">COUNTIF(C10:AF10,"W")</f>
        <v>2</v>
      </c>
      <c r="AI10" s="14" t="n">
        <f aca="false">COUNTIF(C10:AF10,"AL")+COUNTIF(C10:AF10,"SL")+COUNTIF(C10:AF10,"CL")</f>
        <v>5</v>
      </c>
      <c r="AJ10" s="35" t="n">
        <f aca="false">AG10+AH10+AI10</f>
        <v>22</v>
      </c>
      <c r="AK10" s="14" t="n">
        <f aca="false">NETWORKDAYS($C$4,$AF$4,Holidays!$A$5:$A$9)</f>
        <v>22</v>
      </c>
      <c r="AL10" s="15" t="n">
        <v>2</v>
      </c>
      <c r="AM10" s="14" t="n">
        <f aca="false">SUMIFS('Leave Log'!$G$5:$G$62,'Leave Log'!$B$5:$B$62,$A10,'Leave Log'!$H$5:$H$62,"Approved",'Leave Log'!$E$5:$E$62,"&gt;="&amp;DATE(2026,9,1),'Leave Log'!$E$5:$E$62,"&lt;="&amp;DATE(2026,9,30))</f>
        <v>5</v>
      </c>
      <c r="AN10" s="14" t="str">
        <f aca="false">IF(AI10=AM10,"OK","CHECK")</f>
        <v>OK</v>
      </c>
    </row>
    <row r="11" customFormat="false" ht="15" hidden="false" customHeight="false" outlineLevel="0" collapsed="false">
      <c r="A11" s="32" t="s">
        <v>33</v>
      </c>
      <c r="B11" s="32" t="s">
        <v>34</v>
      </c>
      <c r="C11" s="33" t="s">
        <v>204</v>
      </c>
      <c r="D11" s="33" t="s">
        <v>204</v>
      </c>
      <c r="E11" s="33" t="s">
        <v>204</v>
      </c>
      <c r="F11" s="33" t="s">
        <v>204</v>
      </c>
      <c r="G11" s="34"/>
      <c r="H11" s="34"/>
      <c r="I11" s="33" t="s">
        <v>204</v>
      </c>
      <c r="J11" s="33" t="s">
        <v>204</v>
      </c>
      <c r="K11" s="33" t="s">
        <v>204</v>
      </c>
      <c r="L11" s="36" t="s">
        <v>205</v>
      </c>
      <c r="M11" s="33" t="s">
        <v>204</v>
      </c>
      <c r="N11" s="34"/>
      <c r="O11" s="34"/>
      <c r="P11" s="33" t="s">
        <v>204</v>
      </c>
      <c r="Q11" s="33" t="s">
        <v>204</v>
      </c>
      <c r="R11" s="36" t="s">
        <v>205</v>
      </c>
      <c r="S11" s="36" t="s">
        <v>205</v>
      </c>
      <c r="T11" s="33" t="s">
        <v>204</v>
      </c>
      <c r="U11" s="34"/>
      <c r="V11" s="34"/>
      <c r="W11" s="33" t="s">
        <v>204</v>
      </c>
      <c r="X11" s="33" t="s">
        <v>204</v>
      </c>
      <c r="Y11" s="36" t="s">
        <v>205</v>
      </c>
      <c r="Z11" s="33" t="s">
        <v>204</v>
      </c>
      <c r="AA11" s="36" t="s">
        <v>205</v>
      </c>
      <c r="AB11" s="34"/>
      <c r="AC11" s="34"/>
      <c r="AD11" s="36" t="s">
        <v>205</v>
      </c>
      <c r="AE11" s="33" t="s">
        <v>204</v>
      </c>
      <c r="AF11" s="33" t="s">
        <v>204</v>
      </c>
      <c r="AG11" s="14" t="n">
        <f aca="false">COUNTIF(C11:AF11,"P")</f>
        <v>16</v>
      </c>
      <c r="AH11" s="14" t="n">
        <f aca="false">COUNTIF(C11:AF11,"W")</f>
        <v>6</v>
      </c>
      <c r="AI11" s="14" t="n">
        <f aca="false">COUNTIF(C11:AF11,"AL")+COUNTIF(C11:AF11,"SL")+COUNTIF(C11:AF11,"CL")</f>
        <v>0</v>
      </c>
      <c r="AJ11" s="35" t="n">
        <f aca="false">AG11+AH11+AI11</f>
        <v>22</v>
      </c>
      <c r="AK11" s="14" t="n">
        <f aca="false">NETWORKDAYS($C$4,$AF$4,Holidays!$A$5:$A$9)</f>
        <v>22</v>
      </c>
      <c r="AL11" s="15" t="n">
        <v>1</v>
      </c>
      <c r="AM11" s="14" t="n">
        <f aca="false">SUMIFS('Leave Log'!$G$5:$G$62,'Leave Log'!$B$5:$B$62,$A11,'Leave Log'!$H$5:$H$62,"Approved",'Leave Log'!$E$5:$E$62,"&gt;="&amp;DATE(2026,9,1),'Leave Log'!$E$5:$E$62,"&lt;="&amp;DATE(2026,9,30))</f>
        <v>0</v>
      </c>
      <c r="AN11" s="14" t="str">
        <f aca="false">IF(AI11=AM11,"OK","CHECK")</f>
        <v>OK</v>
      </c>
    </row>
    <row r="12" customFormat="false" ht="15" hidden="false" customHeight="false" outlineLevel="0" collapsed="false">
      <c r="A12" s="32" t="s">
        <v>35</v>
      </c>
      <c r="B12" s="32" t="s">
        <v>36</v>
      </c>
      <c r="C12" s="36" t="s">
        <v>205</v>
      </c>
      <c r="D12" s="37" t="s">
        <v>208</v>
      </c>
      <c r="E12" s="37" t="s">
        <v>208</v>
      </c>
      <c r="F12" s="37" t="s">
        <v>208</v>
      </c>
      <c r="G12" s="34"/>
      <c r="H12" s="34"/>
      <c r="I12" s="36" t="s">
        <v>205</v>
      </c>
      <c r="J12" s="36" t="s">
        <v>205</v>
      </c>
      <c r="K12" s="36" t="s">
        <v>205</v>
      </c>
      <c r="L12" s="36" t="s">
        <v>205</v>
      </c>
      <c r="M12" s="36" t="s">
        <v>205</v>
      </c>
      <c r="N12" s="34"/>
      <c r="O12" s="34"/>
      <c r="P12" s="36" t="s">
        <v>205</v>
      </c>
      <c r="Q12" s="36" t="s">
        <v>205</v>
      </c>
      <c r="R12" s="36" t="s">
        <v>205</v>
      </c>
      <c r="S12" s="36" t="s">
        <v>205</v>
      </c>
      <c r="T12" s="36" t="s">
        <v>205</v>
      </c>
      <c r="U12" s="34"/>
      <c r="V12" s="34"/>
      <c r="W12" s="36" t="s">
        <v>205</v>
      </c>
      <c r="X12" s="36" t="s">
        <v>205</v>
      </c>
      <c r="Y12" s="36" t="s">
        <v>205</v>
      </c>
      <c r="Z12" s="36" t="s">
        <v>205</v>
      </c>
      <c r="AA12" s="36" t="s">
        <v>205</v>
      </c>
      <c r="AB12" s="34"/>
      <c r="AC12" s="34"/>
      <c r="AD12" s="36" t="s">
        <v>205</v>
      </c>
      <c r="AE12" s="36" t="s">
        <v>205</v>
      </c>
      <c r="AF12" s="36" t="s">
        <v>205</v>
      </c>
      <c r="AG12" s="14" t="n">
        <f aca="false">COUNTIF(C12:AF12,"P")</f>
        <v>0</v>
      </c>
      <c r="AH12" s="14" t="n">
        <f aca="false">COUNTIF(C12:AF12,"W")</f>
        <v>19</v>
      </c>
      <c r="AI12" s="14" t="n">
        <f aca="false">COUNTIF(C12:AF12,"AL")+COUNTIF(C12:AF12,"SL")+COUNTIF(C12:AF12,"CL")</f>
        <v>3</v>
      </c>
      <c r="AJ12" s="35" t="n">
        <f aca="false">AG12+AH12+AI12</f>
        <v>22</v>
      </c>
      <c r="AK12" s="14" t="n">
        <f aca="false">NETWORKDAYS($C$4,$AF$4,Holidays!$A$5:$A$9)</f>
        <v>22</v>
      </c>
      <c r="AL12" s="15" t="n">
        <v>0</v>
      </c>
      <c r="AM12" s="14" t="n">
        <f aca="false">SUMIFS('Leave Log'!$G$5:$G$62,'Leave Log'!$B$5:$B$62,$A12,'Leave Log'!$H$5:$H$62,"Approved",'Leave Log'!$E$5:$E$62,"&gt;="&amp;DATE(2026,9,1),'Leave Log'!$E$5:$E$62,"&lt;="&amp;DATE(2026,9,30))</f>
        <v>3</v>
      </c>
      <c r="AN12" s="14" t="str">
        <f aca="false">IF(AI12=AM12,"OK","CHECK")</f>
        <v>OK</v>
      </c>
    </row>
    <row r="13" customFormat="false" ht="15" hidden="false" customHeight="false" outlineLevel="0" collapsed="false">
      <c r="A13" s="32" t="s">
        <v>37</v>
      </c>
      <c r="B13" s="32" t="s">
        <v>38</v>
      </c>
      <c r="C13" s="36" t="s">
        <v>205</v>
      </c>
      <c r="D13" s="33" t="s">
        <v>204</v>
      </c>
      <c r="E13" s="33" t="s">
        <v>204</v>
      </c>
      <c r="F13" s="33" t="s">
        <v>204</v>
      </c>
      <c r="G13" s="34"/>
      <c r="H13" s="34"/>
      <c r="I13" s="33" t="s">
        <v>204</v>
      </c>
      <c r="J13" s="33" t="s">
        <v>204</v>
      </c>
      <c r="K13" s="33" t="s">
        <v>204</v>
      </c>
      <c r="L13" s="33" t="s">
        <v>204</v>
      </c>
      <c r="M13" s="36" t="s">
        <v>205</v>
      </c>
      <c r="N13" s="34"/>
      <c r="O13" s="34"/>
      <c r="P13" s="33" t="s">
        <v>204</v>
      </c>
      <c r="Q13" s="33" t="s">
        <v>204</v>
      </c>
      <c r="R13" s="36" t="s">
        <v>205</v>
      </c>
      <c r="S13" s="36" t="s">
        <v>205</v>
      </c>
      <c r="T13" s="33" t="s">
        <v>204</v>
      </c>
      <c r="U13" s="34"/>
      <c r="V13" s="34"/>
      <c r="W13" s="33" t="s">
        <v>204</v>
      </c>
      <c r="X13" s="33" t="s">
        <v>204</v>
      </c>
      <c r="Y13" s="33" t="s">
        <v>204</v>
      </c>
      <c r="Z13" s="33" t="s">
        <v>204</v>
      </c>
      <c r="AA13" s="36" t="s">
        <v>205</v>
      </c>
      <c r="AB13" s="34"/>
      <c r="AC13" s="34"/>
      <c r="AD13" s="33" t="s">
        <v>204</v>
      </c>
      <c r="AE13" s="33" t="s">
        <v>204</v>
      </c>
      <c r="AF13" s="33" t="s">
        <v>204</v>
      </c>
      <c r="AG13" s="14" t="n">
        <f aca="false">COUNTIF(C13:AF13,"P")</f>
        <v>17</v>
      </c>
      <c r="AH13" s="14" t="n">
        <f aca="false">COUNTIF(C13:AF13,"W")</f>
        <v>5</v>
      </c>
      <c r="AI13" s="14" t="n">
        <f aca="false">COUNTIF(C13:AF13,"AL")+COUNTIF(C13:AF13,"SL")+COUNTIF(C13:AF13,"CL")</f>
        <v>0</v>
      </c>
      <c r="AJ13" s="35" t="n">
        <f aca="false">AG13+AH13+AI13</f>
        <v>22</v>
      </c>
      <c r="AK13" s="14" t="n">
        <f aca="false">NETWORKDAYS($C$4,$AF$4,Holidays!$A$5:$A$9)</f>
        <v>22</v>
      </c>
      <c r="AL13" s="15" t="n">
        <v>0</v>
      </c>
      <c r="AM13" s="14" t="n">
        <f aca="false">SUMIFS('Leave Log'!$G$5:$G$62,'Leave Log'!$B$5:$B$62,$A13,'Leave Log'!$H$5:$H$62,"Approved",'Leave Log'!$E$5:$E$62,"&gt;="&amp;DATE(2026,9,1),'Leave Log'!$E$5:$E$62,"&lt;="&amp;DATE(2026,9,30))</f>
        <v>0</v>
      </c>
      <c r="AN13" s="14" t="str">
        <f aca="false">IF(AI13=AM13,"OK","CHECK")</f>
        <v>OK</v>
      </c>
    </row>
    <row r="14" customFormat="false" ht="15" hidden="false" customHeight="false" outlineLevel="0" collapsed="false">
      <c r="A14" s="32" t="s">
        <v>39</v>
      </c>
      <c r="B14" s="32" t="s">
        <v>40</v>
      </c>
      <c r="C14" s="33" t="s">
        <v>204</v>
      </c>
      <c r="D14" s="33" t="s">
        <v>204</v>
      </c>
      <c r="E14" s="33" t="s">
        <v>204</v>
      </c>
      <c r="F14" s="33" t="s">
        <v>204</v>
      </c>
      <c r="G14" s="34"/>
      <c r="H14" s="34"/>
      <c r="I14" s="33" t="s">
        <v>204</v>
      </c>
      <c r="J14" s="36" t="s">
        <v>205</v>
      </c>
      <c r="K14" s="36" t="s">
        <v>205</v>
      </c>
      <c r="L14" s="33" t="s">
        <v>204</v>
      </c>
      <c r="M14" s="33" t="s">
        <v>204</v>
      </c>
      <c r="N14" s="34"/>
      <c r="O14" s="34"/>
      <c r="P14" s="33" t="s">
        <v>204</v>
      </c>
      <c r="Q14" s="33" t="s">
        <v>204</v>
      </c>
      <c r="R14" s="33" t="s">
        <v>204</v>
      </c>
      <c r="S14" s="36" t="s">
        <v>205</v>
      </c>
      <c r="T14" s="33" t="s">
        <v>204</v>
      </c>
      <c r="U14" s="34"/>
      <c r="V14" s="34"/>
      <c r="W14" s="36" t="s">
        <v>205</v>
      </c>
      <c r="X14" s="33" t="s">
        <v>204</v>
      </c>
      <c r="Y14" s="33" t="s">
        <v>204</v>
      </c>
      <c r="Z14" s="33" t="s">
        <v>204</v>
      </c>
      <c r="AA14" s="36" t="s">
        <v>205</v>
      </c>
      <c r="AB14" s="34"/>
      <c r="AC14" s="34"/>
      <c r="AD14" s="37" t="s">
        <v>206</v>
      </c>
      <c r="AE14" s="36" t="s">
        <v>205</v>
      </c>
      <c r="AF14" s="33" t="s">
        <v>204</v>
      </c>
      <c r="AG14" s="14" t="n">
        <f aca="false">COUNTIF(C14:AF14,"P")</f>
        <v>15</v>
      </c>
      <c r="AH14" s="14" t="n">
        <f aca="false">COUNTIF(C14:AF14,"W")</f>
        <v>6</v>
      </c>
      <c r="AI14" s="14" t="n">
        <f aca="false">COUNTIF(C14:AF14,"AL")+COUNTIF(C14:AF14,"SL")+COUNTIF(C14:AF14,"CL")</f>
        <v>1</v>
      </c>
      <c r="AJ14" s="35" t="n">
        <f aca="false">AG14+AH14+AI14</f>
        <v>22</v>
      </c>
      <c r="AK14" s="14" t="n">
        <f aca="false">NETWORKDAYS($C$4,$AF$4,Holidays!$A$5:$A$9)</f>
        <v>22</v>
      </c>
      <c r="AL14" s="15" t="n">
        <v>3</v>
      </c>
      <c r="AM14" s="14" t="n">
        <f aca="false">SUMIFS('Leave Log'!$G$5:$G$62,'Leave Log'!$B$5:$B$62,$A14,'Leave Log'!$H$5:$H$62,"Approved",'Leave Log'!$E$5:$E$62,"&gt;="&amp;DATE(2026,9,1),'Leave Log'!$E$5:$E$62,"&lt;="&amp;DATE(2026,9,30))</f>
        <v>1</v>
      </c>
      <c r="AN14" s="14" t="str">
        <f aca="false">IF(AI14=AM14,"OK","CHECK")</f>
        <v>OK</v>
      </c>
    </row>
    <row r="15" customFormat="false" ht="15" hidden="false" customHeight="false" outlineLevel="0" collapsed="false">
      <c r="A15" s="32" t="s">
        <v>42</v>
      </c>
      <c r="B15" s="32" t="s">
        <v>43</v>
      </c>
      <c r="C15" s="33" t="s">
        <v>204</v>
      </c>
      <c r="D15" s="33" t="s">
        <v>204</v>
      </c>
      <c r="E15" s="33" t="s">
        <v>204</v>
      </c>
      <c r="F15" s="36" t="s">
        <v>205</v>
      </c>
      <c r="G15" s="34"/>
      <c r="H15" s="34"/>
      <c r="I15" s="36" t="s">
        <v>205</v>
      </c>
      <c r="J15" s="33" t="s">
        <v>204</v>
      </c>
      <c r="K15" s="33" t="s">
        <v>204</v>
      </c>
      <c r="L15" s="33" t="s">
        <v>204</v>
      </c>
      <c r="M15" s="36" t="s">
        <v>205</v>
      </c>
      <c r="N15" s="34"/>
      <c r="O15" s="34"/>
      <c r="P15" s="33" t="s">
        <v>204</v>
      </c>
      <c r="Q15" s="33" t="s">
        <v>204</v>
      </c>
      <c r="R15" s="33" t="s">
        <v>204</v>
      </c>
      <c r="S15" s="36" t="s">
        <v>205</v>
      </c>
      <c r="T15" s="33" t="s">
        <v>204</v>
      </c>
      <c r="U15" s="34"/>
      <c r="V15" s="34"/>
      <c r="W15" s="33" t="s">
        <v>204</v>
      </c>
      <c r="X15" s="33" t="s">
        <v>204</v>
      </c>
      <c r="Y15" s="33" t="s">
        <v>204</v>
      </c>
      <c r="Z15" s="33" t="s">
        <v>204</v>
      </c>
      <c r="AA15" s="33" t="s">
        <v>204</v>
      </c>
      <c r="AB15" s="34"/>
      <c r="AC15" s="34"/>
      <c r="AD15" s="33" t="s">
        <v>204</v>
      </c>
      <c r="AE15" s="33" t="s">
        <v>204</v>
      </c>
      <c r="AF15" s="33" t="s">
        <v>204</v>
      </c>
      <c r="AG15" s="14" t="n">
        <f aca="false">COUNTIF(C15:AF15,"P")</f>
        <v>18</v>
      </c>
      <c r="AH15" s="14" t="n">
        <f aca="false">COUNTIF(C15:AF15,"W")</f>
        <v>4</v>
      </c>
      <c r="AI15" s="14" t="n">
        <f aca="false">COUNTIF(C15:AF15,"AL")+COUNTIF(C15:AF15,"SL")+COUNTIF(C15:AF15,"CL")</f>
        <v>0</v>
      </c>
      <c r="AJ15" s="35" t="n">
        <f aca="false">AG15+AH15+AI15</f>
        <v>22</v>
      </c>
      <c r="AK15" s="14" t="n">
        <f aca="false">NETWORKDAYS($C$4,$AF$4,Holidays!$A$5:$A$9)</f>
        <v>22</v>
      </c>
      <c r="AL15" s="15" t="n">
        <v>1</v>
      </c>
      <c r="AM15" s="14" t="n">
        <f aca="false">SUMIFS('Leave Log'!$G$5:$G$62,'Leave Log'!$B$5:$B$62,$A15,'Leave Log'!$H$5:$H$62,"Approved",'Leave Log'!$E$5:$E$62,"&gt;="&amp;DATE(2026,9,1),'Leave Log'!$E$5:$E$62,"&lt;="&amp;DATE(2026,9,30))</f>
        <v>0</v>
      </c>
      <c r="AN15" s="14" t="str">
        <f aca="false">IF(AI15=AM15,"OK","CHECK")</f>
        <v>OK</v>
      </c>
    </row>
    <row r="16" customFormat="false" ht="15" hidden="false" customHeight="false" outlineLevel="0" collapsed="false">
      <c r="A16" s="32" t="s">
        <v>44</v>
      </c>
      <c r="B16" s="32" t="s">
        <v>45</v>
      </c>
      <c r="C16" s="33" t="s">
        <v>204</v>
      </c>
      <c r="D16" s="33" t="s">
        <v>204</v>
      </c>
      <c r="E16" s="33" t="s">
        <v>204</v>
      </c>
      <c r="F16" s="36" t="s">
        <v>205</v>
      </c>
      <c r="G16" s="34"/>
      <c r="H16" s="34"/>
      <c r="I16" s="33" t="s">
        <v>204</v>
      </c>
      <c r="J16" s="33" t="s">
        <v>204</v>
      </c>
      <c r="K16" s="33" t="s">
        <v>204</v>
      </c>
      <c r="L16" s="36" t="s">
        <v>205</v>
      </c>
      <c r="M16" s="33" t="s">
        <v>204</v>
      </c>
      <c r="N16" s="34"/>
      <c r="O16" s="34"/>
      <c r="P16" s="36" t="s">
        <v>205</v>
      </c>
      <c r="Q16" s="33" t="s">
        <v>204</v>
      </c>
      <c r="R16" s="33" t="s">
        <v>204</v>
      </c>
      <c r="S16" s="33" t="s">
        <v>204</v>
      </c>
      <c r="T16" s="33" t="s">
        <v>204</v>
      </c>
      <c r="U16" s="34"/>
      <c r="V16" s="34"/>
      <c r="W16" s="33" t="s">
        <v>204</v>
      </c>
      <c r="X16" s="36" t="s">
        <v>205</v>
      </c>
      <c r="Y16" s="36" t="s">
        <v>205</v>
      </c>
      <c r="Z16" s="33" t="s">
        <v>204</v>
      </c>
      <c r="AA16" s="33" t="s">
        <v>204</v>
      </c>
      <c r="AB16" s="34"/>
      <c r="AC16" s="34"/>
      <c r="AD16" s="33" t="s">
        <v>204</v>
      </c>
      <c r="AE16" s="33" t="s">
        <v>204</v>
      </c>
      <c r="AF16" s="33" t="s">
        <v>204</v>
      </c>
      <c r="AG16" s="14" t="n">
        <f aca="false">COUNTIF(C16:AF16,"P")</f>
        <v>17</v>
      </c>
      <c r="AH16" s="14" t="n">
        <f aca="false">COUNTIF(C16:AF16,"W")</f>
        <v>5</v>
      </c>
      <c r="AI16" s="14" t="n">
        <f aca="false">COUNTIF(C16:AF16,"AL")+COUNTIF(C16:AF16,"SL")+COUNTIF(C16:AF16,"CL")</f>
        <v>0</v>
      </c>
      <c r="AJ16" s="35" t="n">
        <f aca="false">AG16+AH16+AI16</f>
        <v>22</v>
      </c>
      <c r="AK16" s="14" t="n">
        <f aca="false">NETWORKDAYS($C$4,$AF$4,Holidays!$A$5:$A$9)</f>
        <v>22</v>
      </c>
      <c r="AL16" s="15" t="n">
        <v>2</v>
      </c>
      <c r="AM16" s="14" t="n">
        <f aca="false">SUMIFS('Leave Log'!$G$5:$G$62,'Leave Log'!$B$5:$B$62,$A16,'Leave Log'!$H$5:$H$62,"Approved",'Leave Log'!$E$5:$E$62,"&gt;="&amp;DATE(2026,9,1),'Leave Log'!$E$5:$E$62,"&lt;="&amp;DATE(2026,9,30))</f>
        <v>0</v>
      </c>
      <c r="AN16" s="14" t="str">
        <f aca="false">IF(AI16=AM16,"OK","CHECK")</f>
        <v>OK</v>
      </c>
    </row>
    <row r="17" customFormat="false" ht="15" hidden="false" customHeight="false" outlineLevel="0" collapsed="false">
      <c r="A17" s="32" t="s">
        <v>46</v>
      </c>
      <c r="B17" s="32" t="s">
        <v>47</v>
      </c>
      <c r="C17" s="36" t="s">
        <v>205</v>
      </c>
      <c r="D17" s="33" t="s">
        <v>204</v>
      </c>
      <c r="E17" s="33" t="s">
        <v>204</v>
      </c>
      <c r="F17" s="36" t="s">
        <v>205</v>
      </c>
      <c r="G17" s="34"/>
      <c r="H17" s="34"/>
      <c r="I17" s="33" t="s">
        <v>204</v>
      </c>
      <c r="J17" s="36" t="s">
        <v>205</v>
      </c>
      <c r="K17" s="37" t="s">
        <v>208</v>
      </c>
      <c r="L17" s="37" t="s">
        <v>208</v>
      </c>
      <c r="M17" s="33" t="s">
        <v>204</v>
      </c>
      <c r="N17" s="34"/>
      <c r="O17" s="34"/>
      <c r="P17" s="33" t="s">
        <v>204</v>
      </c>
      <c r="Q17" s="33" t="s">
        <v>204</v>
      </c>
      <c r="R17" s="33" t="s">
        <v>204</v>
      </c>
      <c r="S17" s="36" t="s">
        <v>205</v>
      </c>
      <c r="T17" s="33" t="s">
        <v>204</v>
      </c>
      <c r="U17" s="34"/>
      <c r="V17" s="34"/>
      <c r="W17" s="36" t="s">
        <v>205</v>
      </c>
      <c r="X17" s="33" t="s">
        <v>204</v>
      </c>
      <c r="Y17" s="33" t="s">
        <v>204</v>
      </c>
      <c r="Z17" s="36" t="s">
        <v>205</v>
      </c>
      <c r="AA17" s="33" t="s">
        <v>204</v>
      </c>
      <c r="AB17" s="34"/>
      <c r="AC17" s="34"/>
      <c r="AD17" s="33" t="s">
        <v>204</v>
      </c>
      <c r="AE17" s="36" t="s">
        <v>205</v>
      </c>
      <c r="AF17" s="33" t="s">
        <v>204</v>
      </c>
      <c r="AG17" s="14" t="n">
        <f aca="false">COUNTIF(C17:AF17,"P")</f>
        <v>13</v>
      </c>
      <c r="AH17" s="14" t="n">
        <f aca="false">COUNTIF(C17:AF17,"W")</f>
        <v>7</v>
      </c>
      <c r="AI17" s="14" t="n">
        <f aca="false">COUNTIF(C17:AF17,"AL")+COUNTIF(C17:AF17,"SL")+COUNTIF(C17:AF17,"CL")</f>
        <v>2</v>
      </c>
      <c r="AJ17" s="35" t="n">
        <f aca="false">AG17+AH17+AI17</f>
        <v>22</v>
      </c>
      <c r="AK17" s="14" t="n">
        <f aca="false">NETWORKDAYS($C$4,$AF$4,Holidays!$A$5:$A$9)</f>
        <v>22</v>
      </c>
      <c r="AL17" s="15" t="n">
        <v>0</v>
      </c>
      <c r="AM17" s="14" t="n">
        <f aca="false">SUMIFS('Leave Log'!$G$5:$G$62,'Leave Log'!$B$5:$B$62,$A17,'Leave Log'!$H$5:$H$62,"Approved",'Leave Log'!$E$5:$E$62,"&gt;="&amp;DATE(2026,9,1),'Leave Log'!$E$5:$E$62,"&lt;="&amp;DATE(2026,9,30))</f>
        <v>2</v>
      </c>
      <c r="AN17" s="14" t="str">
        <f aca="false">IF(AI17=AM17,"OK","CHECK")</f>
        <v>OK</v>
      </c>
    </row>
    <row r="18" customFormat="false" ht="15" hidden="false" customHeight="false" outlineLevel="0" collapsed="false">
      <c r="A18" s="32" t="s">
        <v>49</v>
      </c>
      <c r="B18" s="32" t="s">
        <v>50</v>
      </c>
      <c r="C18" s="36" t="s">
        <v>205</v>
      </c>
      <c r="D18" s="36" t="s">
        <v>205</v>
      </c>
      <c r="E18" s="36" t="s">
        <v>205</v>
      </c>
      <c r="F18" s="36" t="s">
        <v>205</v>
      </c>
      <c r="G18" s="34"/>
      <c r="H18" s="34"/>
      <c r="I18" s="36" t="s">
        <v>205</v>
      </c>
      <c r="J18" s="36" t="s">
        <v>205</v>
      </c>
      <c r="K18" s="36" t="s">
        <v>205</v>
      </c>
      <c r="L18" s="36" t="s">
        <v>205</v>
      </c>
      <c r="M18" s="36" t="s">
        <v>205</v>
      </c>
      <c r="N18" s="34"/>
      <c r="O18" s="34"/>
      <c r="P18" s="36" t="s">
        <v>205</v>
      </c>
      <c r="Q18" s="36" t="s">
        <v>205</v>
      </c>
      <c r="R18" s="36" t="s">
        <v>205</v>
      </c>
      <c r="S18" s="36" t="s">
        <v>205</v>
      </c>
      <c r="T18" s="36" t="s">
        <v>205</v>
      </c>
      <c r="U18" s="34"/>
      <c r="V18" s="34"/>
      <c r="W18" s="36" t="s">
        <v>205</v>
      </c>
      <c r="X18" s="36" t="s">
        <v>205</v>
      </c>
      <c r="Y18" s="36" t="s">
        <v>205</v>
      </c>
      <c r="Z18" s="36" t="s">
        <v>205</v>
      </c>
      <c r="AA18" s="36" t="s">
        <v>205</v>
      </c>
      <c r="AB18" s="34"/>
      <c r="AC18" s="34"/>
      <c r="AD18" s="36" t="s">
        <v>205</v>
      </c>
      <c r="AE18" s="36" t="s">
        <v>205</v>
      </c>
      <c r="AF18" s="36" t="s">
        <v>205</v>
      </c>
      <c r="AG18" s="14" t="n">
        <f aca="false">COUNTIF(C18:AF18,"P")</f>
        <v>0</v>
      </c>
      <c r="AH18" s="14" t="n">
        <f aca="false">COUNTIF(C18:AF18,"W")</f>
        <v>22</v>
      </c>
      <c r="AI18" s="14" t="n">
        <f aca="false">COUNTIF(C18:AF18,"AL")+COUNTIF(C18:AF18,"SL")+COUNTIF(C18:AF18,"CL")</f>
        <v>0</v>
      </c>
      <c r="AJ18" s="35" t="n">
        <f aca="false">AG18+AH18+AI18</f>
        <v>22</v>
      </c>
      <c r="AK18" s="14" t="n">
        <f aca="false">NETWORKDAYS($C$4,$AF$4,Holidays!$A$5:$A$9)</f>
        <v>22</v>
      </c>
      <c r="AL18" s="15" t="n">
        <v>1</v>
      </c>
      <c r="AM18" s="14" t="n">
        <f aca="false">SUMIFS('Leave Log'!$G$5:$G$62,'Leave Log'!$B$5:$B$62,$A18,'Leave Log'!$H$5:$H$62,"Approved",'Leave Log'!$E$5:$E$62,"&gt;="&amp;DATE(2026,9,1),'Leave Log'!$E$5:$E$62,"&lt;="&amp;DATE(2026,9,30))</f>
        <v>0</v>
      </c>
      <c r="AN18" s="14" t="str">
        <f aca="false">IF(AI18=AM18,"OK","CHECK")</f>
        <v>OK</v>
      </c>
    </row>
    <row r="19" customFormat="false" ht="15" hidden="false" customHeight="false" outlineLevel="0" collapsed="false">
      <c r="A19" s="32" t="s">
        <v>51</v>
      </c>
      <c r="B19" s="32" t="s">
        <v>52</v>
      </c>
      <c r="C19" s="36" t="s">
        <v>205</v>
      </c>
      <c r="D19" s="33" t="s">
        <v>204</v>
      </c>
      <c r="E19" s="36" t="s">
        <v>205</v>
      </c>
      <c r="F19" s="33" t="s">
        <v>204</v>
      </c>
      <c r="G19" s="34"/>
      <c r="H19" s="34"/>
      <c r="I19" s="33" t="s">
        <v>204</v>
      </c>
      <c r="J19" s="33" t="s">
        <v>204</v>
      </c>
      <c r="K19" s="36" t="s">
        <v>205</v>
      </c>
      <c r="L19" s="33" t="s">
        <v>204</v>
      </c>
      <c r="M19" s="36" t="s">
        <v>205</v>
      </c>
      <c r="N19" s="34"/>
      <c r="O19" s="34"/>
      <c r="P19" s="33" t="s">
        <v>204</v>
      </c>
      <c r="Q19" s="33" t="s">
        <v>204</v>
      </c>
      <c r="R19" s="36" t="s">
        <v>205</v>
      </c>
      <c r="S19" s="37" t="s">
        <v>206</v>
      </c>
      <c r="T19" s="33" t="s">
        <v>204</v>
      </c>
      <c r="U19" s="34"/>
      <c r="V19" s="34"/>
      <c r="W19" s="33" t="s">
        <v>204</v>
      </c>
      <c r="X19" s="36" t="s">
        <v>205</v>
      </c>
      <c r="Y19" s="33" t="s">
        <v>204</v>
      </c>
      <c r="Z19" s="33" t="s">
        <v>204</v>
      </c>
      <c r="AA19" s="33" t="s">
        <v>204</v>
      </c>
      <c r="AB19" s="34"/>
      <c r="AC19" s="34"/>
      <c r="AD19" s="33" t="s">
        <v>204</v>
      </c>
      <c r="AE19" s="33" t="s">
        <v>204</v>
      </c>
      <c r="AF19" s="33" t="s">
        <v>204</v>
      </c>
      <c r="AG19" s="14" t="n">
        <f aca="false">COUNTIF(C19:AF19,"P")</f>
        <v>15</v>
      </c>
      <c r="AH19" s="14" t="n">
        <f aca="false">COUNTIF(C19:AF19,"W")</f>
        <v>6</v>
      </c>
      <c r="AI19" s="14" t="n">
        <f aca="false">COUNTIF(C19:AF19,"AL")+COUNTIF(C19:AF19,"SL")+COUNTIF(C19:AF19,"CL")</f>
        <v>1</v>
      </c>
      <c r="AJ19" s="35" t="n">
        <f aca="false">AG19+AH19+AI19</f>
        <v>22</v>
      </c>
      <c r="AK19" s="14" t="n">
        <f aca="false">NETWORKDAYS($C$4,$AF$4,Holidays!$A$5:$A$9)</f>
        <v>22</v>
      </c>
      <c r="AL19" s="15" t="n">
        <v>0</v>
      </c>
      <c r="AM19" s="14" t="n">
        <f aca="false">SUMIFS('Leave Log'!$G$5:$G$62,'Leave Log'!$B$5:$B$62,$A19,'Leave Log'!$H$5:$H$62,"Approved",'Leave Log'!$E$5:$E$62,"&gt;="&amp;DATE(2026,9,1),'Leave Log'!$E$5:$E$62,"&lt;="&amp;DATE(2026,9,30))</f>
        <v>1</v>
      </c>
      <c r="AN19" s="14" t="str">
        <f aca="false">IF(AI19=AM19,"OK","CHECK")</f>
        <v>OK</v>
      </c>
    </row>
    <row r="20" customFormat="false" ht="15" hidden="false" customHeight="false" outlineLevel="0" collapsed="false">
      <c r="A20" s="32" t="s">
        <v>53</v>
      </c>
      <c r="B20" s="32" t="s">
        <v>54</v>
      </c>
      <c r="C20" s="33" t="s">
        <v>204</v>
      </c>
      <c r="D20" s="36" t="s">
        <v>205</v>
      </c>
      <c r="E20" s="33" t="s">
        <v>204</v>
      </c>
      <c r="F20" s="33" t="s">
        <v>204</v>
      </c>
      <c r="G20" s="34"/>
      <c r="H20" s="34"/>
      <c r="I20" s="33" t="s">
        <v>204</v>
      </c>
      <c r="J20" s="36" t="s">
        <v>205</v>
      </c>
      <c r="K20" s="33" t="s">
        <v>204</v>
      </c>
      <c r="L20" s="33" t="s">
        <v>204</v>
      </c>
      <c r="M20" s="33" t="s">
        <v>204</v>
      </c>
      <c r="N20" s="34"/>
      <c r="O20" s="34"/>
      <c r="P20" s="33" t="s">
        <v>204</v>
      </c>
      <c r="Q20" s="33" t="s">
        <v>204</v>
      </c>
      <c r="R20" s="33" t="s">
        <v>204</v>
      </c>
      <c r="S20" s="33" t="s">
        <v>204</v>
      </c>
      <c r="T20" s="33" t="s">
        <v>204</v>
      </c>
      <c r="U20" s="34"/>
      <c r="V20" s="34"/>
      <c r="W20" s="33" t="s">
        <v>204</v>
      </c>
      <c r="X20" s="36" t="s">
        <v>205</v>
      </c>
      <c r="Y20" s="33" t="s">
        <v>204</v>
      </c>
      <c r="Z20" s="33" t="s">
        <v>204</v>
      </c>
      <c r="AA20" s="36" t="s">
        <v>205</v>
      </c>
      <c r="AB20" s="34"/>
      <c r="AC20" s="34"/>
      <c r="AD20" s="33" t="s">
        <v>204</v>
      </c>
      <c r="AE20" s="36" t="s">
        <v>205</v>
      </c>
      <c r="AF20" s="33" t="s">
        <v>204</v>
      </c>
      <c r="AG20" s="14" t="n">
        <f aca="false">COUNTIF(C20:AF20,"P")</f>
        <v>17</v>
      </c>
      <c r="AH20" s="14" t="n">
        <f aca="false">COUNTIF(C20:AF20,"W")</f>
        <v>5</v>
      </c>
      <c r="AI20" s="14" t="n">
        <f aca="false">COUNTIF(C20:AF20,"AL")+COUNTIF(C20:AF20,"SL")+COUNTIF(C20:AF20,"CL")</f>
        <v>0</v>
      </c>
      <c r="AJ20" s="35" t="n">
        <f aca="false">AG20+AH20+AI20</f>
        <v>22</v>
      </c>
      <c r="AK20" s="14" t="n">
        <f aca="false">NETWORKDAYS($C$4,$AF$4,Holidays!$A$5:$A$9)</f>
        <v>22</v>
      </c>
      <c r="AL20" s="15" t="n">
        <v>0</v>
      </c>
      <c r="AM20" s="14" t="n">
        <f aca="false">SUMIFS('Leave Log'!$G$5:$G$62,'Leave Log'!$B$5:$B$62,$A20,'Leave Log'!$H$5:$H$62,"Approved",'Leave Log'!$E$5:$E$62,"&gt;="&amp;DATE(2026,9,1),'Leave Log'!$E$5:$E$62,"&lt;="&amp;DATE(2026,9,30))</f>
        <v>0</v>
      </c>
      <c r="AN20" s="14" t="str">
        <f aca="false">IF(AI20=AM20,"OK","CHECK")</f>
        <v>OK</v>
      </c>
    </row>
    <row r="21" customFormat="false" ht="15" hidden="false" customHeight="false" outlineLevel="0" collapsed="false">
      <c r="A21" s="32" t="s">
        <v>55</v>
      </c>
      <c r="B21" s="32" t="s">
        <v>56</v>
      </c>
      <c r="C21" s="33" t="s">
        <v>204</v>
      </c>
      <c r="D21" s="33" t="s">
        <v>204</v>
      </c>
      <c r="E21" s="33" t="s">
        <v>204</v>
      </c>
      <c r="F21" s="33" t="s">
        <v>204</v>
      </c>
      <c r="G21" s="34"/>
      <c r="H21" s="34"/>
      <c r="I21" s="37" t="s">
        <v>207</v>
      </c>
      <c r="J21" s="37" t="s">
        <v>207</v>
      </c>
      <c r="K21" s="37" t="s">
        <v>207</v>
      </c>
      <c r="L21" s="37" t="s">
        <v>207</v>
      </c>
      <c r="M21" s="37" t="s">
        <v>207</v>
      </c>
      <c r="N21" s="34"/>
      <c r="O21" s="34"/>
      <c r="P21" s="33" t="s">
        <v>204</v>
      </c>
      <c r="Q21" s="33" t="s">
        <v>204</v>
      </c>
      <c r="R21" s="33" t="s">
        <v>204</v>
      </c>
      <c r="S21" s="33" t="s">
        <v>204</v>
      </c>
      <c r="T21" s="36" t="s">
        <v>205</v>
      </c>
      <c r="U21" s="34"/>
      <c r="V21" s="34"/>
      <c r="W21" s="33" t="s">
        <v>204</v>
      </c>
      <c r="X21" s="36" t="s">
        <v>205</v>
      </c>
      <c r="Y21" s="33" t="s">
        <v>204</v>
      </c>
      <c r="Z21" s="33" t="s">
        <v>204</v>
      </c>
      <c r="AA21" s="33" t="s">
        <v>204</v>
      </c>
      <c r="AB21" s="34"/>
      <c r="AC21" s="34"/>
      <c r="AD21" s="33" t="s">
        <v>204</v>
      </c>
      <c r="AE21" s="33" t="s">
        <v>204</v>
      </c>
      <c r="AF21" s="33" t="s">
        <v>204</v>
      </c>
      <c r="AG21" s="14" t="n">
        <f aca="false">COUNTIF(C21:AF21,"P")</f>
        <v>15</v>
      </c>
      <c r="AH21" s="14" t="n">
        <f aca="false">COUNTIF(C21:AF21,"W")</f>
        <v>2</v>
      </c>
      <c r="AI21" s="14" t="n">
        <f aca="false">COUNTIF(C21:AF21,"AL")+COUNTIF(C21:AF21,"SL")+COUNTIF(C21:AF21,"CL")</f>
        <v>5</v>
      </c>
      <c r="AJ21" s="35" t="n">
        <f aca="false">AG21+AH21+AI21</f>
        <v>22</v>
      </c>
      <c r="AK21" s="14" t="n">
        <f aca="false">NETWORKDAYS($C$4,$AF$4,Holidays!$A$5:$A$9)</f>
        <v>22</v>
      </c>
      <c r="AL21" s="15" t="n">
        <v>1</v>
      </c>
      <c r="AM21" s="14" t="n">
        <f aca="false">SUMIFS('Leave Log'!$G$5:$G$62,'Leave Log'!$B$5:$B$62,$A21,'Leave Log'!$H$5:$H$62,"Approved",'Leave Log'!$E$5:$E$62,"&gt;="&amp;DATE(2026,9,1),'Leave Log'!$E$5:$E$62,"&lt;="&amp;DATE(2026,9,30))</f>
        <v>5</v>
      </c>
      <c r="AN21" s="14" t="str">
        <f aca="false">IF(AI21=AM21,"OK","CHECK")</f>
        <v>OK</v>
      </c>
    </row>
    <row r="22" customFormat="false" ht="15" hidden="false" customHeight="false" outlineLevel="0" collapsed="false">
      <c r="A22" s="32" t="s">
        <v>57</v>
      </c>
      <c r="B22" s="32" t="s">
        <v>58</v>
      </c>
      <c r="C22" s="33" t="s">
        <v>204</v>
      </c>
      <c r="D22" s="36" t="s">
        <v>205</v>
      </c>
      <c r="E22" s="33" t="s">
        <v>204</v>
      </c>
      <c r="F22" s="36" t="s">
        <v>205</v>
      </c>
      <c r="G22" s="34"/>
      <c r="H22" s="34"/>
      <c r="I22" s="36" t="s">
        <v>205</v>
      </c>
      <c r="J22" s="33" t="s">
        <v>204</v>
      </c>
      <c r="K22" s="33" t="s">
        <v>204</v>
      </c>
      <c r="L22" s="36" t="s">
        <v>205</v>
      </c>
      <c r="M22" s="33" t="s">
        <v>204</v>
      </c>
      <c r="N22" s="34"/>
      <c r="O22" s="34"/>
      <c r="P22" s="36" t="s">
        <v>205</v>
      </c>
      <c r="Q22" s="33" t="s">
        <v>204</v>
      </c>
      <c r="R22" s="33" t="s">
        <v>204</v>
      </c>
      <c r="S22" s="36" t="s">
        <v>205</v>
      </c>
      <c r="T22" s="33" t="s">
        <v>204</v>
      </c>
      <c r="U22" s="34"/>
      <c r="V22" s="34"/>
      <c r="W22" s="36" t="s">
        <v>205</v>
      </c>
      <c r="X22" s="33" t="s">
        <v>204</v>
      </c>
      <c r="Y22" s="33" t="s">
        <v>204</v>
      </c>
      <c r="Z22" s="33" t="s">
        <v>204</v>
      </c>
      <c r="AA22" s="33" t="s">
        <v>204</v>
      </c>
      <c r="AB22" s="34"/>
      <c r="AC22" s="34"/>
      <c r="AD22" s="33" t="s">
        <v>204</v>
      </c>
      <c r="AE22" s="36" t="s">
        <v>205</v>
      </c>
      <c r="AF22" s="33" t="s">
        <v>204</v>
      </c>
      <c r="AG22" s="14" t="n">
        <f aca="false">COUNTIF(C22:AF22,"P")</f>
        <v>14</v>
      </c>
      <c r="AH22" s="14" t="n">
        <f aca="false">COUNTIF(C22:AF22,"W")</f>
        <v>8</v>
      </c>
      <c r="AI22" s="14" t="n">
        <f aca="false">COUNTIF(C22:AF22,"AL")+COUNTIF(C22:AF22,"SL")+COUNTIF(C22:AF22,"CL")</f>
        <v>0</v>
      </c>
      <c r="AJ22" s="35" t="n">
        <f aca="false">AG22+AH22+AI22</f>
        <v>22</v>
      </c>
      <c r="AK22" s="14" t="n">
        <f aca="false">NETWORKDAYS($C$4,$AF$4,Holidays!$A$5:$A$9)</f>
        <v>22</v>
      </c>
      <c r="AL22" s="15" t="n">
        <v>0</v>
      </c>
      <c r="AM22" s="14" t="n">
        <f aca="false">SUMIFS('Leave Log'!$G$5:$G$62,'Leave Log'!$B$5:$B$62,$A22,'Leave Log'!$H$5:$H$62,"Approved",'Leave Log'!$E$5:$E$62,"&gt;="&amp;DATE(2026,9,1),'Leave Log'!$E$5:$E$62,"&lt;="&amp;DATE(2026,9,30))</f>
        <v>0</v>
      </c>
      <c r="AN22" s="14" t="str">
        <f aca="false">IF(AI22=AM22,"OK","CHECK")</f>
        <v>OK</v>
      </c>
    </row>
    <row r="23" customFormat="false" ht="15" hidden="false" customHeight="false" outlineLevel="0" collapsed="false">
      <c r="A23" s="32" t="s">
        <v>60</v>
      </c>
      <c r="B23" s="32" t="s">
        <v>61</v>
      </c>
      <c r="C23" s="36" t="s">
        <v>205</v>
      </c>
      <c r="D23" s="33" t="s">
        <v>204</v>
      </c>
      <c r="E23" s="33" t="s">
        <v>204</v>
      </c>
      <c r="F23" s="33" t="s">
        <v>204</v>
      </c>
      <c r="G23" s="34"/>
      <c r="H23" s="34"/>
      <c r="I23" s="33" t="s">
        <v>204</v>
      </c>
      <c r="J23" s="33" t="s">
        <v>204</v>
      </c>
      <c r="K23" s="33" t="s">
        <v>204</v>
      </c>
      <c r="L23" s="33" t="s">
        <v>204</v>
      </c>
      <c r="M23" s="36" t="s">
        <v>205</v>
      </c>
      <c r="N23" s="34"/>
      <c r="O23" s="34"/>
      <c r="P23" s="33" t="s">
        <v>204</v>
      </c>
      <c r="Q23" s="33" t="s">
        <v>204</v>
      </c>
      <c r="R23" s="33" t="s">
        <v>204</v>
      </c>
      <c r="S23" s="33" t="s">
        <v>204</v>
      </c>
      <c r="T23" s="33" t="s">
        <v>204</v>
      </c>
      <c r="U23" s="34"/>
      <c r="V23" s="34"/>
      <c r="W23" s="33" t="s">
        <v>204</v>
      </c>
      <c r="X23" s="33" t="s">
        <v>204</v>
      </c>
      <c r="Y23" s="33" t="s">
        <v>204</v>
      </c>
      <c r="Z23" s="33" t="s">
        <v>204</v>
      </c>
      <c r="AA23" s="33" t="s">
        <v>204</v>
      </c>
      <c r="AB23" s="34"/>
      <c r="AC23" s="34"/>
      <c r="AD23" s="33" t="s">
        <v>204</v>
      </c>
      <c r="AE23" s="33" t="s">
        <v>204</v>
      </c>
      <c r="AF23" s="33" t="s">
        <v>204</v>
      </c>
      <c r="AG23" s="14" t="n">
        <f aca="false">COUNTIF(C23:AF23,"P")</f>
        <v>20</v>
      </c>
      <c r="AH23" s="14" t="n">
        <f aca="false">COUNTIF(C23:AF23,"W")</f>
        <v>2</v>
      </c>
      <c r="AI23" s="14" t="n">
        <f aca="false">COUNTIF(C23:AF23,"AL")+COUNTIF(C23:AF23,"SL")+COUNTIF(C23:AF23,"CL")</f>
        <v>0</v>
      </c>
      <c r="AJ23" s="35" t="n">
        <f aca="false">AG23+AH23+AI23</f>
        <v>22</v>
      </c>
      <c r="AK23" s="14" t="n">
        <f aca="false">NETWORKDAYS($C$4,$AF$4,Holidays!$A$5:$A$9)</f>
        <v>22</v>
      </c>
      <c r="AL23" s="15" t="n">
        <v>2</v>
      </c>
      <c r="AM23" s="14" t="n">
        <f aca="false">SUMIFS('Leave Log'!$G$5:$G$62,'Leave Log'!$B$5:$B$62,$A23,'Leave Log'!$H$5:$H$62,"Approved",'Leave Log'!$E$5:$E$62,"&gt;="&amp;DATE(2026,9,1),'Leave Log'!$E$5:$E$62,"&lt;="&amp;DATE(2026,9,30))</f>
        <v>0</v>
      </c>
      <c r="AN23" s="14" t="str">
        <f aca="false">IF(AI23=AM23,"OK","CHECK")</f>
        <v>OK</v>
      </c>
    </row>
    <row r="24" customFormat="false" ht="15" hidden="false" customHeight="false" outlineLevel="0" collapsed="false">
      <c r="A24" s="32" t="s">
        <v>62</v>
      </c>
      <c r="B24" s="32" t="s">
        <v>63</v>
      </c>
      <c r="C24" s="36" t="s">
        <v>205</v>
      </c>
      <c r="D24" s="33" t="s">
        <v>204</v>
      </c>
      <c r="E24" s="33" t="s">
        <v>204</v>
      </c>
      <c r="F24" s="33" t="s">
        <v>204</v>
      </c>
      <c r="G24" s="34"/>
      <c r="H24" s="34"/>
      <c r="I24" s="33" t="s">
        <v>204</v>
      </c>
      <c r="J24" s="33" t="s">
        <v>204</v>
      </c>
      <c r="K24" s="33" t="s">
        <v>204</v>
      </c>
      <c r="L24" s="33" t="s">
        <v>204</v>
      </c>
      <c r="M24" s="36" t="s">
        <v>205</v>
      </c>
      <c r="N24" s="34"/>
      <c r="O24" s="34"/>
      <c r="P24" s="33" t="s">
        <v>204</v>
      </c>
      <c r="Q24" s="33" t="s">
        <v>204</v>
      </c>
      <c r="R24" s="33" t="s">
        <v>204</v>
      </c>
      <c r="S24" s="33" t="s">
        <v>204</v>
      </c>
      <c r="T24" s="33" t="s">
        <v>204</v>
      </c>
      <c r="U24" s="34"/>
      <c r="V24" s="34"/>
      <c r="W24" s="33" t="s">
        <v>204</v>
      </c>
      <c r="X24" s="33" t="s">
        <v>204</v>
      </c>
      <c r="Y24" s="33" t="s">
        <v>204</v>
      </c>
      <c r="Z24" s="33" t="s">
        <v>204</v>
      </c>
      <c r="AA24" s="33" t="s">
        <v>204</v>
      </c>
      <c r="AB24" s="34"/>
      <c r="AC24" s="34"/>
      <c r="AD24" s="33" t="s">
        <v>204</v>
      </c>
      <c r="AE24" s="33" t="s">
        <v>204</v>
      </c>
      <c r="AF24" s="36" t="s">
        <v>205</v>
      </c>
      <c r="AG24" s="14" t="n">
        <f aca="false">COUNTIF(C24:AF24,"P")</f>
        <v>19</v>
      </c>
      <c r="AH24" s="14" t="n">
        <f aca="false">COUNTIF(C24:AF24,"W")</f>
        <v>3</v>
      </c>
      <c r="AI24" s="14" t="n">
        <f aca="false">COUNTIF(C24:AF24,"AL")+COUNTIF(C24:AF24,"SL")+COUNTIF(C24:AF24,"CL")</f>
        <v>0</v>
      </c>
      <c r="AJ24" s="35" t="n">
        <f aca="false">AG24+AH24+AI24</f>
        <v>22</v>
      </c>
      <c r="AK24" s="14" t="n">
        <f aca="false">NETWORKDAYS($C$4,$AF$4,Holidays!$A$5:$A$9)</f>
        <v>22</v>
      </c>
      <c r="AL24" s="15" t="n">
        <v>1</v>
      </c>
      <c r="AM24" s="14" t="n">
        <f aca="false">SUMIFS('Leave Log'!$G$5:$G$62,'Leave Log'!$B$5:$B$62,$A24,'Leave Log'!$H$5:$H$62,"Approved",'Leave Log'!$E$5:$E$62,"&gt;="&amp;DATE(2026,9,1),'Leave Log'!$E$5:$E$62,"&lt;="&amp;DATE(2026,9,30))</f>
        <v>0</v>
      </c>
      <c r="AN24" s="14" t="str">
        <f aca="false">IF(AI24=AM24,"OK","CHECK")</f>
        <v>OK</v>
      </c>
    </row>
    <row r="25" customFormat="false" ht="15" hidden="false" customHeight="false" outlineLevel="0" collapsed="false">
      <c r="A25" s="32" t="s">
        <v>65</v>
      </c>
      <c r="B25" s="32" t="s">
        <v>66</v>
      </c>
      <c r="C25" s="36" t="s">
        <v>205</v>
      </c>
      <c r="D25" s="36" t="s">
        <v>205</v>
      </c>
      <c r="E25" s="36" t="s">
        <v>205</v>
      </c>
      <c r="F25" s="36" t="s">
        <v>205</v>
      </c>
      <c r="G25" s="34"/>
      <c r="H25" s="34"/>
      <c r="I25" s="36" t="s">
        <v>205</v>
      </c>
      <c r="J25" s="36" t="s">
        <v>205</v>
      </c>
      <c r="K25" s="36" t="s">
        <v>205</v>
      </c>
      <c r="L25" s="36" t="s">
        <v>205</v>
      </c>
      <c r="M25" s="36" t="s">
        <v>205</v>
      </c>
      <c r="N25" s="34"/>
      <c r="O25" s="34"/>
      <c r="P25" s="36" t="s">
        <v>205</v>
      </c>
      <c r="Q25" s="36" t="s">
        <v>205</v>
      </c>
      <c r="R25" s="36" t="s">
        <v>205</v>
      </c>
      <c r="S25" s="36" t="s">
        <v>205</v>
      </c>
      <c r="T25" s="36" t="s">
        <v>205</v>
      </c>
      <c r="U25" s="34"/>
      <c r="V25" s="34"/>
      <c r="W25" s="37" t="s">
        <v>208</v>
      </c>
      <c r="X25" s="36" t="s">
        <v>205</v>
      </c>
      <c r="Y25" s="36" t="s">
        <v>205</v>
      </c>
      <c r="Z25" s="36" t="s">
        <v>205</v>
      </c>
      <c r="AA25" s="36" t="s">
        <v>205</v>
      </c>
      <c r="AB25" s="34"/>
      <c r="AC25" s="34"/>
      <c r="AD25" s="36" t="s">
        <v>205</v>
      </c>
      <c r="AE25" s="36" t="s">
        <v>205</v>
      </c>
      <c r="AF25" s="36" t="s">
        <v>205</v>
      </c>
      <c r="AG25" s="14" t="n">
        <f aca="false">COUNTIF(C25:AF25,"P")</f>
        <v>0</v>
      </c>
      <c r="AH25" s="14" t="n">
        <f aca="false">COUNTIF(C25:AF25,"W")</f>
        <v>21</v>
      </c>
      <c r="AI25" s="14" t="n">
        <f aca="false">COUNTIF(C25:AF25,"AL")+COUNTIF(C25:AF25,"SL")+COUNTIF(C25:AF25,"CL")</f>
        <v>1</v>
      </c>
      <c r="AJ25" s="35" t="n">
        <f aca="false">AG25+AH25+AI25</f>
        <v>22</v>
      </c>
      <c r="AK25" s="14" t="n">
        <f aca="false">NETWORKDAYS($C$4,$AF$4,Holidays!$A$5:$A$9)</f>
        <v>22</v>
      </c>
      <c r="AL25" s="15" t="n">
        <v>0</v>
      </c>
      <c r="AM25" s="14" t="n">
        <f aca="false">SUMIFS('Leave Log'!$G$5:$G$62,'Leave Log'!$B$5:$B$62,$A25,'Leave Log'!$H$5:$H$62,"Approved",'Leave Log'!$E$5:$E$62,"&gt;="&amp;DATE(2026,9,1),'Leave Log'!$E$5:$E$62,"&lt;="&amp;DATE(2026,9,30))</f>
        <v>1</v>
      </c>
      <c r="AN25" s="14" t="str">
        <f aca="false">IF(AI25=AM25,"OK","CHECK")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21.75" hidden="false" customHeight="true" outlineLevel="0" collapsed="false">
      <c r="A4" s="3" t="s">
        <v>211</v>
      </c>
      <c r="B4" s="3" t="s">
        <v>212</v>
      </c>
      <c r="C4" s="3" t="s">
        <v>213</v>
      </c>
    </row>
    <row r="5" customFormat="false" ht="15" hidden="false" customHeight="false" outlineLevel="0" collapsed="false">
      <c r="A5" s="38" t="n">
        <v>46023</v>
      </c>
      <c r="B5" s="16" t="s">
        <v>214</v>
      </c>
      <c r="C5" s="4" t="str">
        <f aca="false">TEXT(A5,"dddd")</f>
        <v>Thursday</v>
      </c>
    </row>
    <row r="6" customFormat="false" ht="15" hidden="false" customHeight="false" outlineLevel="0" collapsed="false">
      <c r="A6" s="38" t="n">
        <v>46115</v>
      </c>
      <c r="B6" s="16" t="s">
        <v>215</v>
      </c>
      <c r="C6" s="4" t="str">
        <f aca="false">TEXT(A6,"dddd")</f>
        <v>Friday</v>
      </c>
    </row>
    <row r="7" customFormat="false" ht="15" hidden="false" customHeight="false" outlineLevel="0" collapsed="false">
      <c r="A7" s="38" t="n">
        <v>46143</v>
      </c>
      <c r="B7" s="16" t="s">
        <v>216</v>
      </c>
      <c r="C7" s="4" t="str">
        <f aca="false">TEXT(A7,"dddd")</f>
        <v>Friday</v>
      </c>
    </row>
    <row r="8" customFormat="false" ht="15" hidden="false" customHeight="false" outlineLevel="0" collapsed="false">
      <c r="A8" s="38" t="n">
        <v>46352</v>
      </c>
      <c r="B8" s="16" t="s">
        <v>217</v>
      </c>
      <c r="C8" s="4" t="str">
        <f aca="false">TEXT(A8,"dddd")</f>
        <v>Thursday</v>
      </c>
    </row>
    <row r="9" customFormat="false" ht="15" hidden="false" customHeight="false" outlineLevel="0" collapsed="false">
      <c r="A9" s="38" t="n">
        <v>46381</v>
      </c>
      <c r="B9" s="16" t="s">
        <v>218</v>
      </c>
      <c r="C9" s="4" t="str">
        <f aca="false">TEXT(A9,"dddd")</f>
        <v>Friday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21.75" hidden="false" customHeight="true" outlineLevel="0" collapsed="false">
      <c r="A4" s="3" t="s">
        <v>221</v>
      </c>
      <c r="B4" s="3" t="s">
        <v>222</v>
      </c>
      <c r="C4" s="3" t="s">
        <v>223</v>
      </c>
    </row>
    <row r="5" customFormat="false" ht="15" hidden="false" customHeight="false" outlineLevel="0" collapsed="false">
      <c r="A5" s="23" t="s">
        <v>224</v>
      </c>
      <c r="B5" s="15" t="n">
        <v>20</v>
      </c>
      <c r="C5" s="32" t="s">
        <v>225</v>
      </c>
    </row>
    <row r="6" customFormat="false" ht="15" hidden="false" customHeight="false" outlineLevel="0" collapsed="false">
      <c r="A6" s="23" t="s">
        <v>226</v>
      </c>
      <c r="B6" s="15" t="n">
        <v>1.5</v>
      </c>
      <c r="C6" s="32" t="s">
        <v>227</v>
      </c>
    </row>
    <row r="7" customFormat="false" ht="15" hidden="false" customHeight="false" outlineLevel="0" collapsed="false">
      <c r="A7" s="23" t="s">
        <v>228</v>
      </c>
      <c r="B7" s="15" t="n">
        <v>12</v>
      </c>
      <c r="C7" s="32" t="s">
        <v>229</v>
      </c>
    </row>
    <row r="8" customFormat="false" ht="15" hidden="false" customHeight="false" outlineLevel="0" collapsed="false">
      <c r="A8" s="23" t="s">
        <v>230</v>
      </c>
      <c r="B8" s="15" t="n">
        <v>10</v>
      </c>
      <c r="C8" s="32" t="s">
        <v>231</v>
      </c>
    </row>
    <row r="9" customFormat="false" ht="15" hidden="false" customHeight="false" outlineLevel="0" collapsed="false">
      <c r="A9" s="23" t="s">
        <v>232</v>
      </c>
      <c r="B9" s="15" t="n">
        <v>6</v>
      </c>
      <c r="C9" s="32" t="s">
        <v>233</v>
      </c>
    </row>
    <row r="10" customFormat="false" ht="15" hidden="false" customHeight="false" outlineLevel="0" collapsed="false">
      <c r="A10" s="23" t="s">
        <v>234</v>
      </c>
      <c r="B10" s="15" t="n">
        <v>22</v>
      </c>
      <c r="C10" s="32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2026-10-05T06:19:15Z</dcterms:created>
  <dc:creator>openpyxl</dc:creator>
  <dc:description/>
  <dc:language>en-US</dc:language>
  <cp:lastModifiedBy/>
  <dcterms:modified xsi:type="dcterms:W3CDTF">2026-10-05T06:19:15Z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