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Register" sheetId="1" state="visible" r:id="rId3"/>
    <sheet name="By Employee" sheetId="2" state="visible" r:id="rId4"/>
    <sheet name="By Category" sheetId="3" state="visible" r:id="rId5"/>
    <sheet name="Reconciliation" sheetId="4" state="visible" r:id="rId6"/>
    <sheet name="Employee Lookup" sheetId="5" state="visible" r:id="rId7"/>
    <sheet name="Assumptions" sheetId="6" state="visible" r:id="rId8"/>
  </sheets>
  <definedNames>
    <definedName function="false" hidden="true" localSheetId="0" name="_xlnm._FilterDatabase" vbProcedure="false">'Asset Register'!$A$4:$V$101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<sst xmlns="http://schemas.openxmlformats.org/spreadsheetml/2006/main" count="1344" uniqueCount="431">
  <si>
    <t xml:space="preserve">Nexora Technologies Ltd. — Office Asset Register</t>
  </si>
  <si>
    <t xml:space="preserve">Accumulated depreciation, net book value, employee name, department and warranty status are formulas. Report date set on the Assumptions sheet (05-Oct-2026).</t>
  </si>
  <si>
    <t xml:space="preserve">Asset Tag</t>
  </si>
  <si>
    <t xml:space="preserve">Category</t>
  </si>
  <si>
    <t xml:space="preserve">Description</t>
  </si>
  <si>
    <t xml:space="preserve">Make / Model</t>
  </si>
  <si>
    <t xml:space="preserve">Serial No.</t>
  </si>
  <si>
    <t xml:space="preserve">Purchase Date</t>
  </si>
  <si>
    <t xml:space="preserve">Vendor</t>
  </si>
  <si>
    <t xml:space="preserve">Cost (USD)</t>
  </si>
  <si>
    <t xml:space="preserve">Useful Life (yrs)</t>
  </si>
  <si>
    <t xml:space="preserve">Accum. Depreciation</t>
  </si>
  <si>
    <t xml:space="preserve">Net Book Value</t>
  </si>
  <si>
    <t xml:space="preserve">Assigned To (Emp ID)</t>
  </si>
  <si>
    <t xml:space="preserve">Assignment Type</t>
  </si>
  <si>
    <t xml:space="preserve">Employee / Custodian</t>
  </si>
  <si>
    <t xml:space="preserve">Department</t>
  </si>
  <si>
    <t xml:space="preserve">Location</t>
  </si>
  <si>
    <t xml:space="preserve">Condition</t>
  </si>
  <si>
    <t xml:space="preserve">Status</t>
  </si>
  <si>
    <t xml:space="preserve">Warranty Expiry</t>
  </si>
  <si>
    <t xml:space="preserve">Warranty Status</t>
  </si>
  <si>
    <t xml:space="preserve">Last Audit</t>
  </si>
  <si>
    <t xml:space="preserve">Audit Status</t>
  </si>
  <si>
    <t xml:space="preserve">NX-AST-0001</t>
  </si>
  <si>
    <t xml:space="preserve">Laptop</t>
  </si>
  <si>
    <t xml:space="preserve">Dell XPS 15 Laptop</t>
  </si>
  <si>
    <t xml:space="preserve">Dell XPS 15 9530</t>
  </si>
  <si>
    <t xml:space="preserve">DXPRV7RTVGT</t>
  </si>
  <si>
    <t xml:space="preserve">Dell Technologies</t>
  </si>
  <si>
    <t xml:space="preserve">NX-001</t>
  </si>
  <si>
    <t xml:space="preserve">Personal</t>
  </si>
  <si>
    <t xml:space="preserve">Head Office</t>
  </si>
  <si>
    <t xml:space="preserve">Fair</t>
  </si>
  <si>
    <t xml:space="preserve">In Use</t>
  </si>
  <si>
    <t xml:space="preserve">NX-AST-0002</t>
  </si>
  <si>
    <t xml:space="preserve">Monitor</t>
  </si>
  <si>
    <t xml:space="preserve">Dell UltraSharp 27" Monitor</t>
  </si>
  <si>
    <t xml:space="preserve">Dell U2723QE</t>
  </si>
  <si>
    <t xml:space="preserve">CN0X2DLD3ZB</t>
  </si>
  <si>
    <t xml:space="preserve">NX-AST-0003</t>
  </si>
  <si>
    <t xml:space="preserve">Mobile Phone</t>
  </si>
  <si>
    <t xml:space="preserve">Apple iPhone 15 (128GB)</t>
  </si>
  <si>
    <t xml:space="preserve">Apple iPhone 15</t>
  </si>
  <si>
    <t xml:space="preserve">F2L98YWFATC</t>
  </si>
  <si>
    <t xml:space="preserve">Carrier Business Store</t>
  </si>
  <si>
    <t xml:space="preserve">Good</t>
  </si>
  <si>
    <t xml:space="preserve">NX-AST-0004</t>
  </si>
  <si>
    <t xml:space="preserve">Furniture</t>
  </si>
  <si>
    <t xml:space="preserve">Office Desk and Ergonomic Chair Set</t>
  </si>
  <si>
    <t xml:space="preserve">Herman Miller / Custom Desk</t>
  </si>
  <si>
    <t xml:space="preserve">HMGJBRQ4TX</t>
  </si>
  <si>
    <t xml:space="preserve">Office Furnishings Co.</t>
  </si>
  <si>
    <t xml:space="preserve">NX-AST-0005</t>
  </si>
  <si>
    <t xml:space="preserve">Lenovo ThinkPad T14 Gen 4</t>
  </si>
  <si>
    <t xml:space="preserve">PF3SYRK9940</t>
  </si>
  <si>
    <t xml:space="preserve">Lenovo Direct</t>
  </si>
  <si>
    <t xml:space="preserve">NX-002</t>
  </si>
  <si>
    <t xml:space="preserve">NX-AST-0006</t>
  </si>
  <si>
    <t xml:space="preserve">CN0LHKC2P4P</t>
  </si>
  <si>
    <t xml:space="preserve">NX-AST-0007</t>
  </si>
  <si>
    <t xml:space="preserve">HM84AH6R9P</t>
  </si>
  <si>
    <t xml:space="preserve">NX-AST-0008</t>
  </si>
  <si>
    <t xml:space="preserve">MacBook Pro 14-inch (M3)</t>
  </si>
  <si>
    <t xml:space="preserve">Apple MacBook Pro 14</t>
  </si>
  <si>
    <t xml:space="preserve">FVFCX2KCM81</t>
  </si>
  <si>
    <t xml:space="preserve">Apple Business</t>
  </si>
  <si>
    <t xml:space="preserve">NX-003</t>
  </si>
  <si>
    <t xml:space="preserve">NX-AST-0009</t>
  </si>
  <si>
    <t xml:space="preserve">CN0EJDC3GVR</t>
  </si>
  <si>
    <t xml:space="preserve">NX-AST-0010</t>
  </si>
  <si>
    <t xml:space="preserve">Docking Station</t>
  </si>
  <si>
    <t xml:space="preserve">USB-C Docking Station</t>
  </si>
  <si>
    <t xml:space="preserve">Dell WD22TB4</t>
  </si>
  <si>
    <t xml:space="preserve">DKG0EXDQHK</t>
  </si>
  <si>
    <t xml:space="preserve">NX-AST-0011</t>
  </si>
  <si>
    <t xml:space="preserve">F2L93L6HP5X</t>
  </si>
  <si>
    <t xml:space="preserve">NX-AST-0012</t>
  </si>
  <si>
    <t xml:space="preserve">HMD9HJ2MLC</t>
  </si>
  <si>
    <t xml:space="preserve">NX-AST-0013</t>
  </si>
  <si>
    <t xml:space="preserve">PF3DVJWNR8S</t>
  </si>
  <si>
    <t xml:space="preserve">NX-004</t>
  </si>
  <si>
    <t xml:space="preserve">NX-AST-0014</t>
  </si>
  <si>
    <t xml:space="preserve">CN0V5GF63JG</t>
  </si>
  <si>
    <t xml:space="preserve">NX-AST-0015</t>
  </si>
  <si>
    <t xml:space="preserve">F2L17G85WQD</t>
  </si>
  <si>
    <t xml:space="preserve">NX-AST-0016</t>
  </si>
  <si>
    <t xml:space="preserve">HMB8JZJ4WK</t>
  </si>
  <si>
    <t xml:space="preserve">NX-AST-0017</t>
  </si>
  <si>
    <t xml:space="preserve">FVFF0CHV4WK</t>
  </si>
  <si>
    <t xml:space="preserve">NX-005</t>
  </si>
  <si>
    <t xml:space="preserve">Poor</t>
  </si>
  <si>
    <t xml:space="preserve">Under Repair</t>
  </si>
  <si>
    <t xml:space="preserve">NX-AST-0018</t>
  </si>
  <si>
    <t xml:space="preserve">CN07GAKRCFN</t>
  </si>
  <si>
    <t xml:space="preserve">NX-AST-0019</t>
  </si>
  <si>
    <t xml:space="preserve">DKVEN69YZV</t>
  </si>
  <si>
    <t xml:space="preserve">NX-AST-0020</t>
  </si>
  <si>
    <t xml:space="preserve">HMEBA6Z8AX</t>
  </si>
  <si>
    <t xml:space="preserve">NX-AST-0021</t>
  </si>
  <si>
    <t xml:space="preserve">FVFS0L9CU16</t>
  </si>
  <si>
    <t xml:space="preserve">NX-006</t>
  </si>
  <si>
    <t xml:space="preserve">NX-AST-0022</t>
  </si>
  <si>
    <t xml:space="preserve">CN01Z27MZ65</t>
  </si>
  <si>
    <t xml:space="preserve">NX-AST-0023</t>
  </si>
  <si>
    <t xml:space="preserve">DKQ25VXNVW</t>
  </si>
  <si>
    <t xml:space="preserve">NX-AST-0024</t>
  </si>
  <si>
    <t xml:space="preserve">HMCX950P0V</t>
  </si>
  <si>
    <t xml:space="preserve">NX-AST-0025</t>
  </si>
  <si>
    <t xml:space="preserve">FVFQ4C1BWSH</t>
  </si>
  <si>
    <t xml:space="preserve">NX-007</t>
  </si>
  <si>
    <t xml:space="preserve">Remote</t>
  </si>
  <si>
    <t xml:space="preserve">NX-AST-0026</t>
  </si>
  <si>
    <t xml:space="preserve">CN0ZSW7JALZ</t>
  </si>
  <si>
    <t xml:space="preserve">NX-AST-0027</t>
  </si>
  <si>
    <t xml:space="preserve">DKGF6YR6MY</t>
  </si>
  <si>
    <t xml:space="preserve">NX-AST-0028</t>
  </si>
  <si>
    <t xml:space="preserve">Headset</t>
  </si>
  <si>
    <t xml:space="preserve">Jabra Evolve2 65 Headset</t>
  </si>
  <si>
    <t xml:space="preserve">Jabra Evolve2 65</t>
  </si>
  <si>
    <t xml:space="preserve">JBGQ375PVL</t>
  </si>
  <si>
    <t xml:space="preserve">Jabra Direct</t>
  </si>
  <si>
    <t xml:space="preserve">NX-AST-0029</t>
  </si>
  <si>
    <t xml:space="preserve">Ergonomic Home-Office Chair (setup allowance)</t>
  </si>
  <si>
    <t xml:space="preserve">Steelcase Series 1</t>
  </si>
  <si>
    <t xml:space="preserve">SCES4408KF</t>
  </si>
  <si>
    <t xml:space="preserve">NX-AST-0030</t>
  </si>
  <si>
    <t xml:space="preserve">FVFRKHQXSL4</t>
  </si>
  <si>
    <t xml:space="preserve">NX-008</t>
  </si>
  <si>
    <t xml:space="preserve">NX-AST-0031</t>
  </si>
  <si>
    <t xml:space="preserve">CN09RCB5B0V</t>
  </si>
  <si>
    <t xml:space="preserve">NX-AST-0032</t>
  </si>
  <si>
    <t xml:space="preserve">DKL2AERA4J</t>
  </si>
  <si>
    <t xml:space="preserve">NX-AST-0033</t>
  </si>
  <si>
    <t xml:space="preserve">HMEBXRXY38</t>
  </si>
  <si>
    <t xml:space="preserve">NX-AST-0034</t>
  </si>
  <si>
    <t xml:space="preserve">HP EliteBook 840 G10</t>
  </si>
  <si>
    <t xml:space="preserve">5CGZGSGAS0G</t>
  </si>
  <si>
    <t xml:space="preserve">HP Direct</t>
  </si>
  <si>
    <t xml:space="preserve">NX-009</t>
  </si>
  <si>
    <t xml:space="preserve">NX-AST-0035</t>
  </si>
  <si>
    <t xml:space="preserve">CN0KMZTW1P2</t>
  </si>
  <si>
    <t xml:space="preserve">NX-AST-0036</t>
  </si>
  <si>
    <t xml:space="preserve">F2L6C70ERX6</t>
  </si>
  <si>
    <t xml:space="preserve">NX-AST-0037</t>
  </si>
  <si>
    <t xml:space="preserve">HMNV538RYG</t>
  </si>
  <si>
    <t xml:space="preserve">NX-AST-0038</t>
  </si>
  <si>
    <t xml:space="preserve">5CG03X0H699</t>
  </si>
  <si>
    <t xml:space="preserve">NX-010</t>
  </si>
  <si>
    <t xml:space="preserve">Branch Office</t>
  </si>
  <si>
    <t xml:space="preserve">NX-AST-0039</t>
  </si>
  <si>
    <t xml:space="preserve">F2LU2L65MCQ</t>
  </si>
  <si>
    <t xml:space="preserve">NX-AST-0040</t>
  </si>
  <si>
    <t xml:space="preserve">HMU2SA3C3F</t>
  </si>
  <si>
    <t xml:space="preserve">NX-AST-0041</t>
  </si>
  <si>
    <t xml:space="preserve">5CGM2EFT04Z</t>
  </si>
  <si>
    <t xml:space="preserve">NX-011</t>
  </si>
  <si>
    <t xml:space="preserve">NX-AST-0042</t>
  </si>
  <si>
    <t xml:space="preserve">F2L8S8CHTK0</t>
  </si>
  <si>
    <t xml:space="preserve">NX-AST-0043</t>
  </si>
  <si>
    <t xml:space="preserve">HMXT4VLN46</t>
  </si>
  <si>
    <t xml:space="preserve">NX-AST-0044</t>
  </si>
  <si>
    <t xml:space="preserve">PF3H48TVGUT</t>
  </si>
  <si>
    <t xml:space="preserve">NX-012</t>
  </si>
  <si>
    <t xml:space="preserve">NX-AST-0045</t>
  </si>
  <si>
    <t xml:space="preserve">CN0WA8TP3VS</t>
  </si>
  <si>
    <t xml:space="preserve">NX-AST-0046</t>
  </si>
  <si>
    <t xml:space="preserve">HMZCUQ87KS</t>
  </si>
  <si>
    <t xml:space="preserve">NX-AST-0047</t>
  </si>
  <si>
    <t xml:space="preserve">PF3EQ36SLGX</t>
  </si>
  <si>
    <t xml:space="preserve">NX-013</t>
  </si>
  <si>
    <t xml:space="preserve">NX-AST-0048</t>
  </si>
  <si>
    <t xml:space="preserve">CN07E2AGHZL</t>
  </si>
  <si>
    <t xml:space="preserve">NX-AST-0049</t>
  </si>
  <si>
    <t xml:space="preserve">JBNXD0ETJG</t>
  </si>
  <si>
    <t xml:space="preserve">NX-AST-0050</t>
  </si>
  <si>
    <t xml:space="preserve">SCUQNQTFGX</t>
  </si>
  <si>
    <t xml:space="preserve">NX-AST-0051</t>
  </si>
  <si>
    <t xml:space="preserve">PF3XU4W5H13</t>
  </si>
  <si>
    <t xml:space="preserve">NX-014</t>
  </si>
  <si>
    <t xml:space="preserve">NX-AST-0052</t>
  </si>
  <si>
    <t xml:space="preserve">CN06LL7H96E</t>
  </si>
  <si>
    <t xml:space="preserve">NX-AST-0053</t>
  </si>
  <si>
    <t xml:space="preserve">HMJ0JD4Q2E</t>
  </si>
  <si>
    <t xml:space="preserve">NX-AST-0054</t>
  </si>
  <si>
    <t xml:space="preserve">PF3PZAGZ68D</t>
  </si>
  <si>
    <t xml:space="preserve">NX-015</t>
  </si>
  <si>
    <t xml:space="preserve">NX-AST-0055</t>
  </si>
  <si>
    <t xml:space="preserve">CN0T1TZGCDB</t>
  </si>
  <si>
    <t xml:space="preserve">NX-AST-0056</t>
  </si>
  <si>
    <t xml:space="preserve">HMUTVEGG49</t>
  </si>
  <si>
    <t xml:space="preserve">NX-AST-0057</t>
  </si>
  <si>
    <t xml:space="preserve">PF37DC8R2MR</t>
  </si>
  <si>
    <t xml:space="preserve">NX-016</t>
  </si>
  <si>
    <t xml:space="preserve">NX-AST-0058</t>
  </si>
  <si>
    <t xml:space="preserve">CN0TQWAZ4GR</t>
  </si>
  <si>
    <t xml:space="preserve">NX-AST-0059</t>
  </si>
  <si>
    <t xml:space="preserve">HM1PGFTA63</t>
  </si>
  <si>
    <t xml:space="preserve">NX-AST-0060</t>
  </si>
  <si>
    <t xml:space="preserve">PF3Z5XPWT93</t>
  </si>
  <si>
    <t xml:space="preserve">NX-017</t>
  </si>
  <si>
    <t xml:space="preserve">NX-AST-0061</t>
  </si>
  <si>
    <t xml:space="preserve">CN0J6123P65</t>
  </si>
  <si>
    <t xml:space="preserve">NX-AST-0062</t>
  </si>
  <si>
    <t xml:space="preserve">F2LZ22P0CMR</t>
  </si>
  <si>
    <t xml:space="preserve">NX-AST-0063</t>
  </si>
  <si>
    <t xml:space="preserve">HMANXXH8YM</t>
  </si>
  <si>
    <t xml:space="preserve">NX-AST-0064</t>
  </si>
  <si>
    <t xml:space="preserve">PF3YVUP9XZ1</t>
  </si>
  <si>
    <t xml:space="preserve">NX-018</t>
  </si>
  <si>
    <t xml:space="preserve">NX-AST-0065</t>
  </si>
  <si>
    <t xml:space="preserve">CN09AW1JPBG</t>
  </si>
  <si>
    <t xml:space="preserve">NX-AST-0066</t>
  </si>
  <si>
    <t xml:space="preserve">HMNDJ6UT8V</t>
  </si>
  <si>
    <t xml:space="preserve">NX-AST-0067</t>
  </si>
  <si>
    <t xml:space="preserve">FVF9X3CW1B7</t>
  </si>
  <si>
    <t xml:space="preserve">NX-019</t>
  </si>
  <si>
    <t xml:space="preserve">NX-AST-0068</t>
  </si>
  <si>
    <t xml:space="preserve">CN0FSFSWB8Q</t>
  </si>
  <si>
    <t xml:space="preserve">NX-AST-0069</t>
  </si>
  <si>
    <t xml:space="preserve">DKTWNKYVK0</t>
  </si>
  <si>
    <t xml:space="preserve">NX-AST-0070</t>
  </si>
  <si>
    <t xml:space="preserve">HMLAJBF1P6</t>
  </si>
  <si>
    <t xml:space="preserve">NX-AST-0071</t>
  </si>
  <si>
    <t xml:space="preserve">PF31B98C6QS</t>
  </si>
  <si>
    <t xml:space="preserve">NX-020</t>
  </si>
  <si>
    <t xml:space="preserve">NX-AST-0072</t>
  </si>
  <si>
    <t xml:space="preserve">CN09JT70R93</t>
  </si>
  <si>
    <t xml:space="preserve">NX-AST-0073</t>
  </si>
  <si>
    <t xml:space="preserve">JBWDXRGBTE</t>
  </si>
  <si>
    <t xml:space="preserve">NX-AST-0074</t>
  </si>
  <si>
    <t xml:space="preserve">SCRYRJVQ2U</t>
  </si>
  <si>
    <t xml:space="preserve">NX-AST-0075</t>
  </si>
  <si>
    <t xml:space="preserve">Lenovo ThinkPad T14 Gen 4 (loaner)</t>
  </si>
  <si>
    <t xml:space="preserve">PF3980JD62X</t>
  </si>
  <si>
    <t xml:space="preserve">NX-AST-0076</t>
  </si>
  <si>
    <t xml:space="preserve">Network &amp; Server</t>
  </si>
  <si>
    <t xml:space="preserve">Dell PowerEdge R650 Server</t>
  </si>
  <si>
    <t xml:space="preserve">Dell PowerEdge R650</t>
  </si>
  <si>
    <t xml:space="preserve">SRVNKZVWX1G</t>
  </si>
  <si>
    <t xml:space="preserve">Shared (custodian)</t>
  </si>
  <si>
    <t xml:space="preserve">Server Room - Head Office</t>
  </si>
  <si>
    <t xml:space="preserve">NX-AST-0077</t>
  </si>
  <si>
    <t xml:space="preserve">Cisco Catalyst 9200 Switch (48-port)</t>
  </si>
  <si>
    <t xml:space="preserve">Cisco C9200-48P</t>
  </si>
  <si>
    <t xml:space="preserve">FOCJ975BCKQ</t>
  </si>
  <si>
    <t xml:space="preserve">Network Solutions Inc.</t>
  </si>
  <si>
    <t xml:space="preserve">NX-AST-0078</t>
  </si>
  <si>
    <t xml:space="preserve">Fortinet FortiGate 100F Firewall</t>
  </si>
  <si>
    <t xml:space="preserve">Fortinet FG-100F</t>
  </si>
  <si>
    <t xml:space="preserve">FGTXDUCCYUX</t>
  </si>
  <si>
    <t xml:space="preserve">NX-AST-0079</t>
  </si>
  <si>
    <t xml:space="preserve">UPS 3000VA Rack Unit</t>
  </si>
  <si>
    <t xml:space="preserve">APC SMT3000RMI2U</t>
  </si>
  <si>
    <t xml:space="preserve">APCNSHM14CE</t>
  </si>
  <si>
    <t xml:space="preserve">NX-AST-0080</t>
  </si>
  <si>
    <t xml:space="preserve">Wi-Fi 6 Access Point</t>
  </si>
  <si>
    <t xml:space="preserve">Ubiquiti U6-Pro</t>
  </si>
  <si>
    <t xml:space="preserve">UBQ3X2HQJ3N</t>
  </si>
  <si>
    <t xml:space="preserve">Head Office - Floor 1</t>
  </si>
  <si>
    <t xml:space="preserve">NX-AST-0081</t>
  </si>
  <si>
    <t xml:space="preserve">UBQY9MU17QN</t>
  </si>
  <si>
    <t xml:space="preserve">Head Office - Floor 2</t>
  </si>
  <si>
    <t xml:space="preserve">NX-AST-0082</t>
  </si>
  <si>
    <t xml:space="preserve">Branch Office Router</t>
  </si>
  <si>
    <t xml:space="preserve">Cisco ISR 1100</t>
  </si>
  <si>
    <t xml:space="preserve">FGLD5CCVSZL</t>
  </si>
  <si>
    <t xml:space="preserve">NX-AST-0083</t>
  </si>
  <si>
    <t xml:space="preserve">Printer</t>
  </si>
  <si>
    <t xml:space="preserve">Multifunction Laser Printer</t>
  </si>
  <si>
    <t xml:space="preserve">HP LaserJet Pro MFP M479</t>
  </si>
  <si>
    <t xml:space="preserve">VNB2CHYCL0Z</t>
  </si>
  <si>
    <t xml:space="preserve">Head Office - Reception</t>
  </si>
  <si>
    <t xml:space="preserve">NX-AST-0084</t>
  </si>
  <si>
    <t xml:space="preserve">Brother MFC-L8900CDW</t>
  </si>
  <si>
    <t xml:space="preserve">BROKEN0ND0V</t>
  </si>
  <si>
    <t xml:space="preserve">Office Depot Business</t>
  </si>
  <si>
    <t xml:space="preserve">NX-AST-0085</t>
  </si>
  <si>
    <t xml:space="preserve">AV Equipment</t>
  </si>
  <si>
    <t xml:space="preserve">Epson Projector</t>
  </si>
  <si>
    <t xml:space="preserve">Epson EB-L630U</t>
  </si>
  <si>
    <t xml:space="preserve">X5X777Q3LLP</t>
  </si>
  <si>
    <t xml:space="preserve">AV Systems Ltd.</t>
  </si>
  <si>
    <t xml:space="preserve">Meeting Room 1</t>
  </si>
  <si>
    <t xml:space="preserve">NX-AST-0086</t>
  </si>
  <si>
    <t xml:space="preserve">65" Smart Display</t>
  </si>
  <si>
    <t xml:space="preserve">Samsung QM65B</t>
  </si>
  <si>
    <t xml:space="preserve">SAM76JNNNPP</t>
  </si>
  <si>
    <t xml:space="preserve">Meeting Room 2</t>
  </si>
  <si>
    <t xml:space="preserve">NX-AST-0087</t>
  </si>
  <si>
    <t xml:space="preserve">Video Conferencing System</t>
  </si>
  <si>
    <t xml:space="preserve">Poly Studio X50</t>
  </si>
  <si>
    <t xml:space="preserve">PLYGV3U4VG1</t>
  </si>
  <si>
    <t xml:space="preserve">Meeting Room 3</t>
  </si>
  <si>
    <t xml:space="preserve">NX-AST-0088</t>
  </si>
  <si>
    <t xml:space="preserve">Conference Table (12-seat)</t>
  </si>
  <si>
    <t xml:space="preserve">Custom Walnut 3.6m</t>
  </si>
  <si>
    <t xml:space="preserve">CT5KATUV8Y</t>
  </si>
  <si>
    <t xml:space="preserve">NX-AST-0089</t>
  </si>
  <si>
    <t xml:space="preserve">Reception Desk</t>
  </si>
  <si>
    <t xml:space="preserve">Custom Reception Unit</t>
  </si>
  <si>
    <t xml:space="preserve">RD3CU2CC16</t>
  </si>
  <si>
    <t xml:space="preserve">NX-AST-0090</t>
  </si>
  <si>
    <t xml:space="preserve">Appliance &amp; Facilities</t>
  </si>
  <si>
    <t xml:space="preserve">Commercial Coffee Machine</t>
  </si>
  <si>
    <t xml:space="preserve">Jura GIGA X8</t>
  </si>
  <si>
    <t xml:space="preserve">JURCXE1YJH2</t>
  </si>
  <si>
    <t xml:space="preserve">Head Office - Pantry</t>
  </si>
  <si>
    <t xml:space="preserve">NX-AST-0091</t>
  </si>
  <si>
    <t xml:space="preserve">Refrigerator (double door)</t>
  </si>
  <si>
    <t xml:space="preserve">Samsung RF28</t>
  </si>
  <si>
    <t xml:space="preserve">RFGT2PM8YSU</t>
  </si>
  <si>
    <t xml:space="preserve">NX-AST-0092</t>
  </si>
  <si>
    <t xml:space="preserve">Security</t>
  </si>
  <si>
    <t xml:space="preserve">CCTV System (8 cameras + recorder)</t>
  </si>
  <si>
    <t xml:space="preserve">Hikvision DS-7608</t>
  </si>
  <si>
    <t xml:space="preserve">HKV007P4Y53</t>
  </si>
  <si>
    <t xml:space="preserve">SecureTech Ltd.</t>
  </si>
  <si>
    <t xml:space="preserve">NX-AST-0093</t>
  </si>
  <si>
    <t xml:space="preserve">Access Control System (door readers)</t>
  </si>
  <si>
    <t xml:space="preserve">HID Signo</t>
  </si>
  <si>
    <t xml:space="preserve">HID468XT03Q</t>
  </si>
  <si>
    <t xml:space="preserve">NX-AST-0094</t>
  </si>
  <si>
    <t xml:space="preserve">Lenovo ThinkPad T14 Gen 4 (spare)</t>
  </si>
  <si>
    <t xml:space="preserve">PF3QE19NFGQ</t>
  </si>
  <si>
    <t xml:space="preserve">Spare stock</t>
  </si>
  <si>
    <t xml:space="preserve">Head Office - IT Store</t>
  </si>
  <si>
    <t xml:space="preserve">New</t>
  </si>
  <si>
    <t xml:space="preserve">In Stock</t>
  </si>
  <si>
    <t xml:space="preserve">NX-AST-0095</t>
  </si>
  <si>
    <t xml:space="preserve">PF3K8CLDY2G</t>
  </si>
  <si>
    <t xml:space="preserve">NX-AST-0096</t>
  </si>
  <si>
    <t xml:space="preserve">Dell UltraSharp 27" Monitor (spare)</t>
  </si>
  <si>
    <t xml:space="preserve">CN0CRV6BDGH</t>
  </si>
  <si>
    <t xml:space="preserve">NX-AST-0097</t>
  </si>
  <si>
    <t xml:space="preserve">Dell Latitude 5420 (returned by former employee, left Mar 2026)</t>
  </si>
  <si>
    <t xml:space="preserve">Dell Latitude 5420</t>
  </si>
  <si>
    <t xml:space="preserve">DLTJ0WHGKF1</t>
  </si>
  <si>
    <t xml:space="preserve">Retired</t>
  </si>
  <si>
    <t xml:space="preserve">TOTAL</t>
  </si>
  <si>
    <t xml:space="preserve">Assets Assigned by Employee</t>
  </si>
  <si>
    <t xml:space="preserve">Counts personal assignments only (shared equipment is held by custodians and counted separately).</t>
  </si>
  <si>
    <t xml:space="preserve">Employee ID</t>
  </si>
  <si>
    <t xml:space="preserve">Full Name</t>
  </si>
  <si>
    <t xml:space="preserve">Work Location</t>
  </si>
  <si>
    <t xml:space="preserve">Personal Assets</t>
  </si>
  <si>
    <t xml:space="preserve">Shared Items Held (custodian)</t>
  </si>
  <si>
    <t xml:space="preserve">Total Cost (personal)</t>
  </si>
  <si>
    <t xml:space="preserve">Net Book Value (personal)</t>
  </si>
  <si>
    <t xml:space="preserve">Daniel Carter</t>
  </si>
  <si>
    <t xml:space="preserve">Executive</t>
  </si>
  <si>
    <t xml:space="preserve">Sophia Bennett</t>
  </si>
  <si>
    <t xml:space="preserve">Finance</t>
  </si>
  <si>
    <t xml:space="preserve">Marcus Reed</t>
  </si>
  <si>
    <t xml:space="preserve">Technology</t>
  </si>
  <si>
    <t xml:space="preserve">Olivia Hughes</t>
  </si>
  <si>
    <t xml:space="preserve">Human Resources</t>
  </si>
  <si>
    <t xml:space="preserve">Ethan Brooks</t>
  </si>
  <si>
    <t xml:space="preserve">Isabella Foster</t>
  </si>
  <si>
    <t xml:space="preserve">Liam Sanders</t>
  </si>
  <si>
    <t xml:space="preserve">Ava Mitchell</t>
  </si>
  <si>
    <t xml:space="preserve">Noah Parker</t>
  </si>
  <si>
    <t xml:space="preserve">Sales</t>
  </si>
  <si>
    <t xml:space="preserve">Emma Collins</t>
  </si>
  <si>
    <t xml:space="preserve">James Ward</t>
  </si>
  <si>
    <t xml:space="preserve">Mia Turner</t>
  </si>
  <si>
    <t xml:space="preserve">Marketing</t>
  </si>
  <si>
    <t xml:space="preserve">Benjamin Hayes</t>
  </si>
  <si>
    <t xml:space="preserve">Charlotte Price</t>
  </si>
  <si>
    <t xml:space="preserve">Lucas Gray</t>
  </si>
  <si>
    <t xml:space="preserve">Amelia Russell</t>
  </si>
  <si>
    <t xml:space="preserve">Henry Coleman</t>
  </si>
  <si>
    <t xml:space="preserve">Operations</t>
  </si>
  <si>
    <t xml:space="preserve">Harper Jenkins</t>
  </si>
  <si>
    <t xml:space="preserve">Jack Stewart</t>
  </si>
  <si>
    <t xml:space="preserve">Ella Morgan</t>
  </si>
  <si>
    <t xml:space="preserve">Assets by Category</t>
  </si>
  <si>
    <t xml:space="preserve">All figures are formulas from the Asset Register.</t>
  </si>
  <si>
    <t xml:space="preserve">Number of Assets</t>
  </si>
  <si>
    <t xml:space="preserve">Total Cost</t>
  </si>
  <si>
    <t xml:space="preserve">Reconciliation to Balance Sheet</t>
  </si>
  <si>
    <t xml:space="preserve">The register itemises IT, office equipment and furniture. The balance sheet also holds leasehold improvements, fixtures and other assets not itemised here.</t>
  </si>
  <si>
    <t xml:space="preserve">Item</t>
  </si>
  <si>
    <t xml:space="preserve">USD</t>
  </si>
  <si>
    <t xml:space="preserve">Register – total cost</t>
  </si>
  <si>
    <t xml:space="preserve">Register – accumulated depreciation</t>
  </si>
  <si>
    <t xml:space="preserve">Register – net book value</t>
  </si>
  <si>
    <t xml:space="preserve">Equipment &amp; fixtures (net) per Balance Sheet, 30-Sep-2026</t>
  </si>
  <si>
    <t xml:space="preserve">Difference (non-itemised fixtures, leasehold improvements, etc.)</t>
  </si>
  <si>
    <t xml:space="preserve">Register NBV as % of balance sheet</t>
  </si>
  <si>
    <t xml:space="preserve">Employee Lookup (from Employee Database)</t>
  </si>
  <si>
    <t xml:space="preserve">Reference list used for name/department lookups.</t>
  </si>
  <si>
    <t xml:space="preserve">Designation</t>
  </si>
  <si>
    <t xml:space="preserve">Chief Executive Officer</t>
  </si>
  <si>
    <t xml:space="preserve">Chief Financial Officer</t>
  </si>
  <si>
    <t xml:space="preserve">Chief Technology Officer</t>
  </si>
  <si>
    <t xml:space="preserve">HR Manager</t>
  </si>
  <si>
    <t xml:space="preserve">Senior Software Engineer</t>
  </si>
  <si>
    <t xml:space="preserve">Software Engineer</t>
  </si>
  <si>
    <t xml:space="preserve">QA Engineer</t>
  </si>
  <si>
    <t xml:space="preserve">Sales Manager</t>
  </si>
  <si>
    <t xml:space="preserve">Sales Executive</t>
  </si>
  <si>
    <t xml:space="preserve">Marketing Manager</t>
  </si>
  <si>
    <t xml:space="preserve">Digital Marketing Specialist</t>
  </si>
  <si>
    <t xml:space="preserve">Senior Accountant</t>
  </si>
  <si>
    <t xml:space="preserve">Accounts Assistant</t>
  </si>
  <si>
    <t xml:space="preserve">HR Executive</t>
  </si>
  <si>
    <t xml:space="preserve">Operations Manager</t>
  </si>
  <si>
    <t xml:space="preserve">Administrative Officer</t>
  </si>
  <si>
    <t xml:space="preserve">IT Support Specialist</t>
  </si>
  <si>
    <t xml:space="preserve">Content Writer</t>
  </si>
  <si>
    <t xml:space="preserve">Assumptions &amp; Notes</t>
  </si>
  <si>
    <t xml:space="preserve">Blue = input. Change the report date and all depreciation and warranty flags update.</t>
  </si>
  <si>
    <t xml:space="preserve">Value</t>
  </si>
  <si>
    <t xml:space="preserve">Notes</t>
  </si>
  <si>
    <t xml:space="preserve">Report date</t>
  </si>
  <si>
    <t xml:space="preserve">Depreciation and warranty status are calculated as at this date.</t>
  </si>
  <si>
    <t xml:space="preserve">Depreciation method</t>
  </si>
  <si>
    <t xml:space="preserve">Straight-line</t>
  </si>
  <si>
    <t xml:space="preserve">Cost / useful life, nil residual value, pro-rated by days from purchase date; stops when fully depreciated.</t>
  </si>
  <si>
    <t xml:space="preserve">Warranty 'expiring soon' window (days)</t>
  </si>
  <si>
    <t xml:space="preserve">Warranty within this many days of expiry is flagged.</t>
  </si>
  <si>
    <t xml:space="preserve">Audit overdue after (days)</t>
  </si>
  <si>
    <t xml:space="preserve">Physical audit older than this is flagged as overdue.</t>
  </si>
  <si>
    <t xml:space="preserve">Equipment &amp; fixtures (net) per Balance Sheet 30-Sep-2026</t>
  </si>
  <si>
    <t xml:space="preserve">From the Company Financial Report (file 07).</t>
  </si>
  <si>
    <t xml:space="preserve">Notes:</t>
  </si>
  <si>
    <t xml:space="preserve">1. Every employee has a company laptop (policy). Remote staff also have a headset and ergonomic chair under the home-office setup allowance. Employees at the Head Office and Branch Office have a desk set.</t>
  </si>
  <si>
    <t xml:space="preserve">2. Shared equipment is assigned to a custodian (an employee responsible for it). Personal assignments are counted per employee on the By Employee sheet.</t>
  </si>
  <si>
    <t xml:space="preserve">3. NX-005 (Ethan Brooks) has a laptop under repair and a loaner laptop. A retired laptop was returned by a former employee.</t>
  </si>
  <si>
    <t xml:space="preserve">4. Master employee details are copied from the Employee Database (file 01). All asset data is fictional.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</si>
</sst>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.00;\(#,##0.00\);\-"/>
    <numFmt numFmtId="167" formatCode="#,##0.00"/>
    <numFmt numFmtId="168" formatCode="General"/>
    <numFmt numFmtId="169" formatCode="0.0%"/>
    <numFmt numFmtId="170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FFFFF"/>
      </patternFill>
    </fill>
    <fill>
      <patternFill patternType="solid">
        <fgColor rgb="FFD9E2F3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EF3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7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4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21" min="19" style="0" width="13"/>
    <col collapsed="false" customWidth="true" hidden="false" outlineLevel="0" max="22" min="2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5" hidden="false" customHeight="false" outlineLevel="0" collapsed="false">
      <c r="A5" s="4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6" t="n">
        <v>44569</v>
      </c>
      <c r="G5" s="5" t="s">
        <v>29</v>
      </c>
      <c r="H5" s="7" t="n">
        <v>2100</v>
      </c>
      <c r="I5" s="4" t="n">
        <v>4</v>
      </c>
      <c r="J5" s="8" t="n">
        <f aca="false">ROUND(MIN(H5,H5/I5*(Assumptions!$B$4-F5)/365.25),2)</f>
        <v>2100</v>
      </c>
      <c r="K5" s="8" t="n">
        <f aca="false">H5-J5</f>
        <v>0</v>
      </c>
      <c r="L5" s="4" t="s">
        <v>30</v>
      </c>
      <c r="M5" s="4" t="s">
        <v>31</v>
      </c>
      <c r="N5" s="9" t="str">
        <f aca="false">IF(L5="","— (unassigned)",INDEX('Employee Lookup'!$B$5:$B$24,MATCH(L5,'Employee Lookup'!$A$5:$A$24,0)))</f>
        <v>Daniel Carter</v>
      </c>
      <c r="O5" s="9" t="str">
        <f aca="false">IF(L5="","—",INDEX('Employee Lookup'!$C$5:$C$24,MATCH(L5,'Employee Lookup'!$A$5:$A$24,0)))</f>
        <v>Executive</v>
      </c>
      <c r="P5" s="5" t="s">
        <v>32</v>
      </c>
      <c r="Q5" s="4" t="s">
        <v>33</v>
      </c>
      <c r="R5" s="4" t="s">
        <v>34</v>
      </c>
      <c r="S5" s="6" t="n">
        <v>45665</v>
      </c>
      <c r="T5" s="10" t="str">
        <f aca="false">IF(S5&lt;Assumptions!$B$4,"Expired",IF(S5-Assumptions!$B$4&lt;=Assumptions!$B$6,"Expiring soon","Valid"))</f>
        <v>Expired</v>
      </c>
      <c r="U5" s="6" t="n">
        <v>46006</v>
      </c>
      <c r="V5" s="10" t="str">
        <f aca="false">IF(Assumptions!$B$4-U5&gt;Assumptions!$B$7,"Overdue","OK")</f>
        <v>OK</v>
      </c>
    </row>
    <row r="6" customFormat="false" ht="15" hidden="false" customHeight="false" outlineLevel="0" collapsed="false">
      <c r="A6" s="11" t="s">
        <v>35</v>
      </c>
      <c r="B6" s="12" t="s">
        <v>36</v>
      </c>
      <c r="C6" s="12" t="s">
        <v>37</v>
      </c>
      <c r="D6" s="12" t="s">
        <v>38</v>
      </c>
      <c r="E6" s="12" t="s">
        <v>39</v>
      </c>
      <c r="F6" s="13" t="n">
        <v>44569</v>
      </c>
      <c r="G6" s="12" t="s">
        <v>29</v>
      </c>
      <c r="H6" s="14" t="n">
        <v>320</v>
      </c>
      <c r="I6" s="11" t="n">
        <v>5</v>
      </c>
      <c r="J6" s="15" t="n">
        <f aca="false">ROUND(MIN(H6,H6/I6*(Assumptions!$B$4-F6)/365.25),2)</f>
        <v>303.31</v>
      </c>
      <c r="K6" s="15" t="n">
        <f aca="false">H6-J6</f>
        <v>16.69</v>
      </c>
      <c r="L6" s="11" t="s">
        <v>30</v>
      </c>
      <c r="M6" s="11" t="s">
        <v>31</v>
      </c>
      <c r="N6" s="16" t="str">
        <f aca="false">IF(L6="","— (unassigned)",INDEX('Employee Lookup'!$B$5:$B$24,MATCH(L6,'Employee Lookup'!$A$5:$A$24,0)))</f>
        <v>Daniel Carter</v>
      </c>
      <c r="O6" s="16" t="str">
        <f aca="false">IF(L6="","—",INDEX('Employee Lookup'!$C$5:$C$24,MATCH(L6,'Employee Lookup'!$A$5:$A$24,0)))</f>
        <v>Executive</v>
      </c>
      <c r="P6" s="12" t="s">
        <v>32</v>
      </c>
      <c r="Q6" s="11" t="s">
        <v>33</v>
      </c>
      <c r="R6" s="11" t="s">
        <v>34</v>
      </c>
      <c r="S6" s="13" t="n">
        <v>45665</v>
      </c>
      <c r="T6" s="17" t="str">
        <f aca="false">IF(S6&lt;Assumptions!$B$4,"Expired",IF(S6-Assumptions!$B$4&lt;=Assumptions!$B$6,"Expiring soon","Valid"))</f>
        <v>Expired</v>
      </c>
      <c r="U6" s="13" t="n">
        <v>46203</v>
      </c>
      <c r="V6" s="17" t="str">
        <f aca="false">IF(Assumptions!$B$4-U6&gt;Assumptions!$B$7,"Overdue","OK")</f>
        <v>OK</v>
      </c>
    </row>
    <row r="7" customFormat="false" ht="15" hidden="false" customHeight="false" outlineLevel="0" collapsed="false">
      <c r="A7" s="4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6" t="n">
        <v>45352</v>
      </c>
      <c r="G7" s="5" t="s">
        <v>45</v>
      </c>
      <c r="H7" s="7" t="n">
        <v>999</v>
      </c>
      <c r="I7" s="4" t="n">
        <v>3</v>
      </c>
      <c r="J7" s="8" t="n">
        <f aca="false">ROUND(MIN(H7,H7/I7*(Assumptions!$B$4-F7)/365.25),2)</f>
        <v>864.3</v>
      </c>
      <c r="K7" s="8" t="n">
        <f aca="false">H7-J7</f>
        <v>134.7</v>
      </c>
      <c r="L7" s="4" t="s">
        <v>30</v>
      </c>
      <c r="M7" s="4" t="s">
        <v>31</v>
      </c>
      <c r="N7" s="9" t="str">
        <f aca="false">IF(L7="","— (unassigned)",INDEX('Employee Lookup'!$B$5:$B$24,MATCH(L7,'Employee Lookup'!$A$5:$A$24,0)))</f>
        <v>Daniel Carter</v>
      </c>
      <c r="O7" s="9" t="str">
        <f aca="false">IF(L7="","—",INDEX('Employee Lookup'!$C$5:$C$24,MATCH(L7,'Employee Lookup'!$A$5:$A$24,0)))</f>
        <v>Executive</v>
      </c>
      <c r="P7" s="5" t="s">
        <v>32</v>
      </c>
      <c r="Q7" s="4" t="s">
        <v>46</v>
      </c>
      <c r="R7" s="4" t="s">
        <v>34</v>
      </c>
      <c r="S7" s="6" t="n">
        <v>45717</v>
      </c>
      <c r="T7" s="10" t="str">
        <f aca="false">IF(S7&lt;Assumptions!$B$4,"Expired",IF(S7-Assumptions!$B$4&lt;=Assumptions!$B$6,"Expiring soon","Valid"))</f>
        <v>Expired</v>
      </c>
      <c r="U7" s="6" t="n">
        <v>46203</v>
      </c>
      <c r="V7" s="10" t="str">
        <f aca="false">IF(Assumptions!$B$4-U7&gt;Assumptions!$B$7,"Overdue","OK")</f>
        <v>OK</v>
      </c>
    </row>
    <row r="8" customFormat="false" ht="15" hidden="false" customHeight="false" outlineLevel="0" collapsed="false">
      <c r="A8" s="11" t="s">
        <v>47</v>
      </c>
      <c r="B8" s="12" t="s">
        <v>48</v>
      </c>
      <c r="C8" s="12" t="s">
        <v>49</v>
      </c>
      <c r="D8" s="12" t="s">
        <v>50</v>
      </c>
      <c r="E8" s="12" t="s">
        <v>51</v>
      </c>
      <c r="F8" s="13" t="n">
        <v>43617</v>
      </c>
      <c r="G8" s="12" t="s">
        <v>52</v>
      </c>
      <c r="H8" s="14" t="n">
        <v>650</v>
      </c>
      <c r="I8" s="11" t="n">
        <v>8</v>
      </c>
      <c r="J8" s="15" t="n">
        <f aca="false">ROUND(MIN(H8,H8/I8*(Assumptions!$B$4-F8)/365.25),2)</f>
        <v>596.83</v>
      </c>
      <c r="K8" s="15" t="n">
        <f aca="false">H8-J8</f>
        <v>53.17</v>
      </c>
      <c r="L8" s="11" t="s">
        <v>30</v>
      </c>
      <c r="M8" s="11" t="s">
        <v>31</v>
      </c>
      <c r="N8" s="16" t="str">
        <f aca="false">IF(L8="","— (unassigned)",INDEX('Employee Lookup'!$B$5:$B$24,MATCH(L8,'Employee Lookup'!$A$5:$A$24,0)))</f>
        <v>Daniel Carter</v>
      </c>
      <c r="O8" s="16" t="str">
        <f aca="false">IF(L8="","—",INDEX('Employee Lookup'!$C$5:$C$24,MATCH(L8,'Employee Lookup'!$A$5:$A$24,0)))</f>
        <v>Executive</v>
      </c>
      <c r="P8" s="12" t="s">
        <v>32</v>
      </c>
      <c r="Q8" s="11" t="s">
        <v>33</v>
      </c>
      <c r="R8" s="11" t="s">
        <v>34</v>
      </c>
      <c r="S8" s="13" t="n">
        <v>45444</v>
      </c>
      <c r="T8" s="17" t="str">
        <f aca="false">IF(S8&lt;Assumptions!$B$4,"Expired",IF(S8-Assumptions!$B$4&lt;=Assumptions!$B$6,"Expiring soon","Valid"))</f>
        <v>Expired</v>
      </c>
      <c r="U8" s="13" t="n">
        <v>46203</v>
      </c>
      <c r="V8" s="17" t="str">
        <f aca="false">IF(Assumptions!$B$4-U8&gt;Assumptions!$B$7,"Overdue","OK")</f>
        <v>OK</v>
      </c>
    </row>
    <row r="9" customFormat="false" ht="15" hidden="false" customHeight="false" outlineLevel="0" collapsed="false">
      <c r="A9" s="4" t="s">
        <v>53</v>
      </c>
      <c r="B9" s="5" t="s">
        <v>25</v>
      </c>
      <c r="C9" s="5" t="s">
        <v>54</v>
      </c>
      <c r="D9" s="5" t="s">
        <v>54</v>
      </c>
      <c r="E9" s="5" t="s">
        <v>55</v>
      </c>
      <c r="F9" s="6" t="n">
        <v>45086</v>
      </c>
      <c r="G9" s="5" t="s">
        <v>56</v>
      </c>
      <c r="H9" s="7" t="n">
        <v>1350</v>
      </c>
      <c r="I9" s="4" t="n">
        <v>4</v>
      </c>
      <c r="J9" s="8" t="n">
        <f aca="false">ROUND(MIN(H9,H9/I9*(Assumptions!$B$4-F9)/365.25),2)</f>
        <v>1121.77</v>
      </c>
      <c r="K9" s="8" t="n">
        <f aca="false">H9-J9</f>
        <v>228.23</v>
      </c>
      <c r="L9" s="4" t="s">
        <v>57</v>
      </c>
      <c r="M9" s="4" t="s">
        <v>31</v>
      </c>
      <c r="N9" s="9" t="str">
        <f aca="false">IF(L9="","— (unassigned)",INDEX('Employee Lookup'!$B$5:$B$24,MATCH(L9,'Employee Lookup'!$A$5:$A$24,0)))</f>
        <v>Sophia Bennett</v>
      </c>
      <c r="O9" s="9" t="str">
        <f aca="false">IF(L9="","—",INDEX('Employee Lookup'!$C$5:$C$24,MATCH(L9,'Employee Lookup'!$A$5:$A$24,0)))</f>
        <v>Finance</v>
      </c>
      <c r="P9" s="5" t="s">
        <v>32</v>
      </c>
      <c r="Q9" s="4" t="s">
        <v>33</v>
      </c>
      <c r="R9" s="4" t="s">
        <v>34</v>
      </c>
      <c r="S9" s="6" t="n">
        <v>46182</v>
      </c>
      <c r="T9" s="10" t="str">
        <f aca="false">IF(S9&lt;Assumptions!$B$4,"Expired",IF(S9-Assumptions!$B$4&lt;=Assumptions!$B$6,"Expiring soon","Valid"))</f>
        <v>Expired</v>
      </c>
      <c r="U9" s="6" t="n">
        <v>46203</v>
      </c>
      <c r="V9" s="10" t="str">
        <f aca="false">IF(Assumptions!$B$4-U9&gt;Assumptions!$B$7,"Overdue","OK")</f>
        <v>OK</v>
      </c>
    </row>
    <row r="10" customFormat="false" ht="15" hidden="false" customHeight="false" outlineLevel="0" collapsed="false">
      <c r="A10" s="11" t="s">
        <v>58</v>
      </c>
      <c r="B10" s="12" t="s">
        <v>36</v>
      </c>
      <c r="C10" s="12" t="s">
        <v>37</v>
      </c>
      <c r="D10" s="12" t="s">
        <v>38</v>
      </c>
      <c r="E10" s="12" t="s">
        <v>59</v>
      </c>
      <c r="F10" s="13" t="n">
        <v>45086</v>
      </c>
      <c r="G10" s="12" t="s">
        <v>29</v>
      </c>
      <c r="H10" s="14" t="n">
        <v>320</v>
      </c>
      <c r="I10" s="11" t="n">
        <v>5</v>
      </c>
      <c r="J10" s="15" t="n">
        <f aca="false">ROUND(MIN(H10,H10/I10*(Assumptions!$B$4-F10)/365.25),2)</f>
        <v>212.72</v>
      </c>
      <c r="K10" s="15" t="n">
        <f aca="false">H10-J10</f>
        <v>107.28</v>
      </c>
      <c r="L10" s="11" t="s">
        <v>57</v>
      </c>
      <c r="M10" s="11" t="s">
        <v>31</v>
      </c>
      <c r="N10" s="16" t="str">
        <f aca="false">IF(L10="","— (unassigned)",INDEX('Employee Lookup'!$B$5:$B$24,MATCH(L10,'Employee Lookup'!$A$5:$A$24,0)))</f>
        <v>Sophia Bennett</v>
      </c>
      <c r="O10" s="16" t="str">
        <f aca="false">IF(L10="","—",INDEX('Employee Lookup'!$C$5:$C$24,MATCH(L10,'Employee Lookup'!$A$5:$A$24,0)))</f>
        <v>Finance</v>
      </c>
      <c r="P10" s="12" t="s">
        <v>32</v>
      </c>
      <c r="Q10" s="11" t="s">
        <v>33</v>
      </c>
      <c r="R10" s="11" t="s">
        <v>34</v>
      </c>
      <c r="S10" s="13" t="n">
        <v>46182</v>
      </c>
      <c r="T10" s="17" t="str">
        <f aca="false">IF(S10&lt;Assumptions!$B$4,"Expired",IF(S10-Assumptions!$B$4&lt;=Assumptions!$B$6,"Expiring soon","Valid"))</f>
        <v>Expired</v>
      </c>
      <c r="U10" s="13" t="n">
        <v>46203</v>
      </c>
      <c r="V10" s="17" t="str">
        <f aca="false">IF(Assumptions!$B$4-U10&gt;Assumptions!$B$7,"Overdue","OK")</f>
        <v>OK</v>
      </c>
    </row>
    <row r="11" customFormat="false" ht="15" hidden="false" customHeight="false" outlineLevel="0" collapsed="false">
      <c r="A11" s="4" t="s">
        <v>60</v>
      </c>
      <c r="B11" s="5" t="s">
        <v>48</v>
      </c>
      <c r="C11" s="5" t="s">
        <v>49</v>
      </c>
      <c r="D11" s="5" t="s">
        <v>50</v>
      </c>
      <c r="E11" s="5" t="s">
        <v>61</v>
      </c>
      <c r="F11" s="6" t="n">
        <v>43617</v>
      </c>
      <c r="G11" s="5" t="s">
        <v>52</v>
      </c>
      <c r="H11" s="7" t="n">
        <v>650</v>
      </c>
      <c r="I11" s="4" t="n">
        <v>8</v>
      </c>
      <c r="J11" s="8" t="n">
        <f aca="false">ROUND(MIN(H11,H11/I11*(Assumptions!$B$4-F11)/365.25),2)</f>
        <v>596.83</v>
      </c>
      <c r="K11" s="8" t="n">
        <f aca="false">H11-J11</f>
        <v>53.17</v>
      </c>
      <c r="L11" s="4" t="s">
        <v>57</v>
      </c>
      <c r="M11" s="4" t="s">
        <v>31</v>
      </c>
      <c r="N11" s="9" t="str">
        <f aca="false">IF(L11="","— (unassigned)",INDEX('Employee Lookup'!$B$5:$B$24,MATCH(L11,'Employee Lookup'!$A$5:$A$24,0)))</f>
        <v>Sophia Bennett</v>
      </c>
      <c r="O11" s="9" t="str">
        <f aca="false">IF(L11="","—",INDEX('Employee Lookup'!$C$5:$C$24,MATCH(L11,'Employee Lookup'!$A$5:$A$24,0)))</f>
        <v>Finance</v>
      </c>
      <c r="P11" s="5" t="s">
        <v>32</v>
      </c>
      <c r="Q11" s="4" t="s">
        <v>33</v>
      </c>
      <c r="R11" s="4" t="s">
        <v>34</v>
      </c>
      <c r="S11" s="6" t="n">
        <v>45444</v>
      </c>
      <c r="T11" s="10" t="str">
        <f aca="false">IF(S11&lt;Assumptions!$B$4,"Expired",IF(S11-Assumptions!$B$4&lt;=Assumptions!$B$6,"Expiring soon","Valid"))</f>
        <v>Expired</v>
      </c>
      <c r="U11" s="6" t="n">
        <v>46203</v>
      </c>
      <c r="V11" s="10" t="str">
        <f aca="false">IF(Assumptions!$B$4-U11&gt;Assumptions!$B$7,"Overdue","OK")</f>
        <v>OK</v>
      </c>
    </row>
    <row r="12" customFormat="false" ht="15" hidden="false" customHeight="false" outlineLevel="0" collapsed="false">
      <c r="A12" s="11" t="s">
        <v>62</v>
      </c>
      <c r="B12" s="12" t="s">
        <v>25</v>
      </c>
      <c r="C12" s="12" t="s">
        <v>63</v>
      </c>
      <c r="D12" s="12" t="s">
        <v>64</v>
      </c>
      <c r="E12" s="12" t="s">
        <v>65</v>
      </c>
      <c r="F12" s="13" t="n">
        <v>45606</v>
      </c>
      <c r="G12" s="12" t="s">
        <v>66</v>
      </c>
      <c r="H12" s="14" t="n">
        <v>2400</v>
      </c>
      <c r="I12" s="11" t="n">
        <v>4</v>
      </c>
      <c r="J12" s="15" t="n">
        <f aca="false">ROUND(MIN(H12,H12/I12*(Assumptions!$B$4-F12)/365.25),2)</f>
        <v>1140.04</v>
      </c>
      <c r="K12" s="15" t="n">
        <f aca="false">H12-J12</f>
        <v>1259.96</v>
      </c>
      <c r="L12" s="11" t="s">
        <v>67</v>
      </c>
      <c r="M12" s="11" t="s">
        <v>31</v>
      </c>
      <c r="N12" s="16" t="str">
        <f aca="false">IF(L12="","— (unassigned)",INDEX('Employee Lookup'!$B$5:$B$24,MATCH(L12,'Employee Lookup'!$A$5:$A$24,0)))</f>
        <v>Marcus Reed</v>
      </c>
      <c r="O12" s="16" t="str">
        <f aca="false">IF(L12="","—",INDEX('Employee Lookup'!$C$5:$C$24,MATCH(L12,'Employee Lookup'!$A$5:$A$24,0)))</f>
        <v>Technology</v>
      </c>
      <c r="P12" s="12" t="s">
        <v>32</v>
      </c>
      <c r="Q12" s="11" t="s">
        <v>46</v>
      </c>
      <c r="R12" s="11" t="s">
        <v>34</v>
      </c>
      <c r="S12" s="13" t="n">
        <v>46701</v>
      </c>
      <c r="T12" s="17" t="str">
        <f aca="false">IF(S12&lt;Assumptions!$B$4,"Expired",IF(S12-Assumptions!$B$4&lt;=Assumptions!$B$6,"Expiring soon","Valid"))</f>
        <v>Valid</v>
      </c>
      <c r="U12" s="13" t="n">
        <v>46203</v>
      </c>
      <c r="V12" s="17" t="str">
        <f aca="false">IF(Assumptions!$B$4-U12&gt;Assumptions!$B$7,"Overdue","OK")</f>
        <v>OK</v>
      </c>
    </row>
    <row r="13" customFormat="false" ht="15" hidden="false" customHeight="false" outlineLevel="0" collapsed="false">
      <c r="A13" s="4" t="s">
        <v>68</v>
      </c>
      <c r="B13" s="5" t="s">
        <v>36</v>
      </c>
      <c r="C13" s="5" t="s">
        <v>37</v>
      </c>
      <c r="D13" s="5" t="s">
        <v>38</v>
      </c>
      <c r="E13" s="5" t="s">
        <v>69</v>
      </c>
      <c r="F13" s="6" t="n">
        <v>45606</v>
      </c>
      <c r="G13" s="5" t="s">
        <v>29</v>
      </c>
      <c r="H13" s="7" t="n">
        <v>320</v>
      </c>
      <c r="I13" s="4" t="n">
        <v>5</v>
      </c>
      <c r="J13" s="8" t="n">
        <f aca="false">ROUND(MIN(H13,H13/I13*(Assumptions!$B$4-F13)/365.25),2)</f>
        <v>121.6</v>
      </c>
      <c r="K13" s="8" t="n">
        <f aca="false">H13-J13</f>
        <v>198.4</v>
      </c>
      <c r="L13" s="4" t="s">
        <v>67</v>
      </c>
      <c r="M13" s="4" t="s">
        <v>31</v>
      </c>
      <c r="N13" s="9" t="str">
        <f aca="false">IF(L13="","— (unassigned)",INDEX('Employee Lookup'!$B$5:$B$24,MATCH(L13,'Employee Lookup'!$A$5:$A$24,0)))</f>
        <v>Marcus Reed</v>
      </c>
      <c r="O13" s="9" t="str">
        <f aca="false">IF(L13="","—",INDEX('Employee Lookup'!$C$5:$C$24,MATCH(L13,'Employee Lookup'!$A$5:$A$24,0)))</f>
        <v>Technology</v>
      </c>
      <c r="P13" s="5" t="s">
        <v>32</v>
      </c>
      <c r="Q13" s="4" t="s">
        <v>46</v>
      </c>
      <c r="R13" s="4" t="s">
        <v>34</v>
      </c>
      <c r="S13" s="6" t="n">
        <v>46701</v>
      </c>
      <c r="T13" s="10" t="str">
        <f aca="false">IF(S13&lt;Assumptions!$B$4,"Expired",IF(S13-Assumptions!$B$4&lt;=Assumptions!$B$6,"Expiring soon","Valid"))</f>
        <v>Valid</v>
      </c>
      <c r="U13" s="6" t="n">
        <v>46203</v>
      </c>
      <c r="V13" s="10" t="str">
        <f aca="false">IF(Assumptions!$B$4-U13&gt;Assumptions!$B$7,"Overdue","OK")</f>
        <v>OK</v>
      </c>
    </row>
    <row r="14" customFormat="false" ht="15" hidden="false" customHeight="false" outlineLevel="0" collapsed="false">
      <c r="A14" s="11" t="s">
        <v>70</v>
      </c>
      <c r="B14" s="12" t="s">
        <v>71</v>
      </c>
      <c r="C14" s="12" t="s">
        <v>72</v>
      </c>
      <c r="D14" s="12" t="s">
        <v>73</v>
      </c>
      <c r="E14" s="12" t="s">
        <v>74</v>
      </c>
      <c r="F14" s="13" t="n">
        <v>45606</v>
      </c>
      <c r="G14" s="12" t="s">
        <v>29</v>
      </c>
      <c r="H14" s="14" t="n">
        <v>240</v>
      </c>
      <c r="I14" s="11" t="n">
        <v>5</v>
      </c>
      <c r="J14" s="15" t="n">
        <f aca="false">ROUND(MIN(H14,H14/I14*(Assumptions!$B$4-F14)/365.25),2)</f>
        <v>91.2</v>
      </c>
      <c r="K14" s="15" t="n">
        <f aca="false">H14-J14</f>
        <v>148.8</v>
      </c>
      <c r="L14" s="11" t="s">
        <v>67</v>
      </c>
      <c r="M14" s="11" t="s">
        <v>31</v>
      </c>
      <c r="N14" s="16" t="str">
        <f aca="false">IF(L14="","— (unassigned)",INDEX('Employee Lookup'!$B$5:$B$24,MATCH(L14,'Employee Lookup'!$A$5:$A$24,0)))</f>
        <v>Marcus Reed</v>
      </c>
      <c r="O14" s="16" t="str">
        <f aca="false">IF(L14="","—",INDEX('Employee Lookup'!$C$5:$C$24,MATCH(L14,'Employee Lookup'!$A$5:$A$24,0)))</f>
        <v>Technology</v>
      </c>
      <c r="P14" s="12" t="s">
        <v>32</v>
      </c>
      <c r="Q14" s="11" t="s">
        <v>46</v>
      </c>
      <c r="R14" s="11" t="s">
        <v>34</v>
      </c>
      <c r="S14" s="13" t="n">
        <v>46701</v>
      </c>
      <c r="T14" s="17" t="str">
        <f aca="false">IF(S14&lt;Assumptions!$B$4,"Expired",IF(S14-Assumptions!$B$4&lt;=Assumptions!$B$6,"Expiring soon","Valid"))</f>
        <v>Valid</v>
      </c>
      <c r="U14" s="13" t="n">
        <v>46203</v>
      </c>
      <c r="V14" s="17" t="str">
        <f aca="false">IF(Assumptions!$B$4-U14&gt;Assumptions!$B$7,"Overdue","OK")</f>
        <v>OK</v>
      </c>
    </row>
    <row r="15" customFormat="false" ht="15" hidden="false" customHeight="false" outlineLevel="0" collapsed="false">
      <c r="A15" s="4" t="s">
        <v>75</v>
      </c>
      <c r="B15" s="5" t="s">
        <v>41</v>
      </c>
      <c r="C15" s="5" t="s">
        <v>42</v>
      </c>
      <c r="D15" s="5" t="s">
        <v>43</v>
      </c>
      <c r="E15" s="5" t="s">
        <v>76</v>
      </c>
      <c r="F15" s="6" t="n">
        <v>45352</v>
      </c>
      <c r="G15" s="5" t="s">
        <v>45</v>
      </c>
      <c r="H15" s="7" t="n">
        <v>999</v>
      </c>
      <c r="I15" s="4" t="n">
        <v>3</v>
      </c>
      <c r="J15" s="8" t="n">
        <f aca="false">ROUND(MIN(H15,H15/I15*(Assumptions!$B$4-F15)/365.25),2)</f>
        <v>864.3</v>
      </c>
      <c r="K15" s="8" t="n">
        <f aca="false">H15-J15</f>
        <v>134.7</v>
      </c>
      <c r="L15" s="4" t="s">
        <v>67</v>
      </c>
      <c r="M15" s="4" t="s">
        <v>31</v>
      </c>
      <c r="N15" s="9" t="str">
        <f aca="false">IF(L15="","— (unassigned)",INDEX('Employee Lookup'!$B$5:$B$24,MATCH(L15,'Employee Lookup'!$A$5:$A$24,0)))</f>
        <v>Marcus Reed</v>
      </c>
      <c r="O15" s="9" t="str">
        <f aca="false">IF(L15="","—",INDEX('Employee Lookup'!$C$5:$C$24,MATCH(L15,'Employee Lookup'!$A$5:$A$24,0)))</f>
        <v>Technology</v>
      </c>
      <c r="P15" s="5" t="s">
        <v>32</v>
      </c>
      <c r="Q15" s="4" t="s">
        <v>46</v>
      </c>
      <c r="R15" s="4" t="s">
        <v>34</v>
      </c>
      <c r="S15" s="6" t="n">
        <v>45717</v>
      </c>
      <c r="T15" s="10" t="str">
        <f aca="false">IF(S15&lt;Assumptions!$B$4,"Expired",IF(S15-Assumptions!$B$4&lt;=Assumptions!$B$6,"Expiring soon","Valid"))</f>
        <v>Expired</v>
      </c>
      <c r="U15" s="6" t="n">
        <v>46203</v>
      </c>
      <c r="V15" s="10" t="str">
        <f aca="false">IF(Assumptions!$B$4-U15&gt;Assumptions!$B$7,"Overdue","OK")</f>
        <v>OK</v>
      </c>
    </row>
    <row r="16" customFormat="false" ht="15" hidden="false" customHeight="false" outlineLevel="0" collapsed="false">
      <c r="A16" s="11" t="s">
        <v>77</v>
      </c>
      <c r="B16" s="12" t="s">
        <v>48</v>
      </c>
      <c r="C16" s="12" t="s">
        <v>49</v>
      </c>
      <c r="D16" s="12" t="s">
        <v>50</v>
      </c>
      <c r="E16" s="12" t="s">
        <v>78</v>
      </c>
      <c r="F16" s="13" t="n">
        <v>43617</v>
      </c>
      <c r="G16" s="12" t="s">
        <v>52</v>
      </c>
      <c r="H16" s="14" t="n">
        <v>650</v>
      </c>
      <c r="I16" s="11" t="n">
        <v>8</v>
      </c>
      <c r="J16" s="15" t="n">
        <f aca="false">ROUND(MIN(H16,H16/I16*(Assumptions!$B$4-F16)/365.25),2)</f>
        <v>596.83</v>
      </c>
      <c r="K16" s="15" t="n">
        <f aca="false">H16-J16</f>
        <v>53.17</v>
      </c>
      <c r="L16" s="11" t="s">
        <v>67</v>
      </c>
      <c r="M16" s="11" t="s">
        <v>31</v>
      </c>
      <c r="N16" s="16" t="str">
        <f aca="false">IF(L16="","— (unassigned)",INDEX('Employee Lookup'!$B$5:$B$24,MATCH(L16,'Employee Lookup'!$A$5:$A$24,0)))</f>
        <v>Marcus Reed</v>
      </c>
      <c r="O16" s="16" t="str">
        <f aca="false">IF(L16="","—",INDEX('Employee Lookup'!$C$5:$C$24,MATCH(L16,'Employee Lookup'!$A$5:$A$24,0)))</f>
        <v>Technology</v>
      </c>
      <c r="P16" s="12" t="s">
        <v>32</v>
      </c>
      <c r="Q16" s="11" t="s">
        <v>33</v>
      </c>
      <c r="R16" s="11" t="s">
        <v>34</v>
      </c>
      <c r="S16" s="13" t="n">
        <v>45444</v>
      </c>
      <c r="T16" s="17" t="str">
        <f aca="false">IF(S16&lt;Assumptions!$B$4,"Expired",IF(S16-Assumptions!$B$4&lt;=Assumptions!$B$6,"Expiring soon","Valid"))</f>
        <v>Expired</v>
      </c>
      <c r="U16" s="13" t="n">
        <v>46006</v>
      </c>
      <c r="V16" s="17" t="str">
        <f aca="false">IF(Assumptions!$B$4-U16&gt;Assumptions!$B$7,"Overdue","OK")</f>
        <v>OK</v>
      </c>
    </row>
    <row r="17" customFormat="false" ht="15" hidden="false" customHeight="false" outlineLevel="0" collapsed="false">
      <c r="A17" s="4" t="s">
        <v>79</v>
      </c>
      <c r="B17" s="5" t="s">
        <v>25</v>
      </c>
      <c r="C17" s="5" t="s">
        <v>54</v>
      </c>
      <c r="D17" s="5" t="s">
        <v>54</v>
      </c>
      <c r="E17" s="5" t="s">
        <v>80</v>
      </c>
      <c r="F17" s="6" t="n">
        <v>44662</v>
      </c>
      <c r="G17" s="5" t="s">
        <v>56</v>
      </c>
      <c r="H17" s="7" t="n">
        <v>1350</v>
      </c>
      <c r="I17" s="4" t="n">
        <v>4</v>
      </c>
      <c r="J17" s="8" t="n">
        <f aca="false">ROUND(MIN(H17,H17/I17*(Assumptions!$B$4-F17)/365.25),2)</f>
        <v>1350</v>
      </c>
      <c r="K17" s="8" t="n">
        <f aca="false">H17-J17</f>
        <v>0</v>
      </c>
      <c r="L17" s="4" t="s">
        <v>81</v>
      </c>
      <c r="M17" s="4" t="s">
        <v>31</v>
      </c>
      <c r="N17" s="9" t="str">
        <f aca="false">IF(L17="","— (unassigned)",INDEX('Employee Lookup'!$B$5:$B$24,MATCH(L17,'Employee Lookup'!$A$5:$A$24,0)))</f>
        <v>Olivia Hughes</v>
      </c>
      <c r="O17" s="9" t="str">
        <f aca="false">IF(L17="","—",INDEX('Employee Lookup'!$C$5:$C$24,MATCH(L17,'Employee Lookup'!$A$5:$A$24,0)))</f>
        <v>Human Resources</v>
      </c>
      <c r="P17" s="5" t="s">
        <v>32</v>
      </c>
      <c r="Q17" s="4" t="s">
        <v>33</v>
      </c>
      <c r="R17" s="4" t="s">
        <v>34</v>
      </c>
      <c r="S17" s="6" t="n">
        <v>45758</v>
      </c>
      <c r="T17" s="10" t="str">
        <f aca="false">IF(S17&lt;Assumptions!$B$4,"Expired",IF(S17-Assumptions!$B$4&lt;=Assumptions!$B$6,"Expiring soon","Valid"))</f>
        <v>Expired</v>
      </c>
      <c r="U17" s="6" t="n">
        <v>46203</v>
      </c>
      <c r="V17" s="10" t="str">
        <f aca="false">IF(Assumptions!$B$4-U17&gt;Assumptions!$B$7,"Overdue","OK")</f>
        <v>OK</v>
      </c>
    </row>
    <row r="18" customFormat="false" ht="15" hidden="false" customHeight="false" outlineLevel="0" collapsed="false">
      <c r="A18" s="11" t="s">
        <v>82</v>
      </c>
      <c r="B18" s="12" t="s">
        <v>36</v>
      </c>
      <c r="C18" s="12" t="s">
        <v>37</v>
      </c>
      <c r="D18" s="12" t="s">
        <v>38</v>
      </c>
      <c r="E18" s="12" t="s">
        <v>83</v>
      </c>
      <c r="F18" s="13" t="n">
        <v>44662</v>
      </c>
      <c r="G18" s="12" t="s">
        <v>29</v>
      </c>
      <c r="H18" s="14" t="n">
        <v>320</v>
      </c>
      <c r="I18" s="11" t="n">
        <v>5</v>
      </c>
      <c r="J18" s="15" t="n">
        <f aca="false">ROUND(MIN(H18,H18/I18*(Assumptions!$B$4-F18)/365.25),2)</f>
        <v>287.01</v>
      </c>
      <c r="K18" s="15" t="n">
        <f aca="false">H18-J18</f>
        <v>32.99</v>
      </c>
      <c r="L18" s="11" t="s">
        <v>81</v>
      </c>
      <c r="M18" s="11" t="s">
        <v>31</v>
      </c>
      <c r="N18" s="16" t="str">
        <f aca="false">IF(L18="","— (unassigned)",INDEX('Employee Lookup'!$B$5:$B$24,MATCH(L18,'Employee Lookup'!$A$5:$A$24,0)))</f>
        <v>Olivia Hughes</v>
      </c>
      <c r="O18" s="16" t="str">
        <f aca="false">IF(L18="","—",INDEX('Employee Lookup'!$C$5:$C$24,MATCH(L18,'Employee Lookup'!$A$5:$A$24,0)))</f>
        <v>Human Resources</v>
      </c>
      <c r="P18" s="12" t="s">
        <v>32</v>
      </c>
      <c r="Q18" s="11" t="s">
        <v>33</v>
      </c>
      <c r="R18" s="11" t="s">
        <v>34</v>
      </c>
      <c r="S18" s="13" t="n">
        <v>45758</v>
      </c>
      <c r="T18" s="17" t="str">
        <f aca="false">IF(S18&lt;Assumptions!$B$4,"Expired",IF(S18-Assumptions!$B$4&lt;=Assumptions!$B$6,"Expiring soon","Valid"))</f>
        <v>Expired</v>
      </c>
      <c r="U18" s="13" t="n">
        <v>46203</v>
      </c>
      <c r="V18" s="17" t="str">
        <f aca="false">IF(Assumptions!$B$4-U18&gt;Assumptions!$B$7,"Overdue","OK")</f>
        <v>OK</v>
      </c>
    </row>
    <row r="19" customFormat="false" ht="15" hidden="false" customHeight="false" outlineLevel="0" collapsed="false">
      <c r="A19" s="4" t="s">
        <v>84</v>
      </c>
      <c r="B19" s="5" t="s">
        <v>41</v>
      </c>
      <c r="C19" s="5" t="s">
        <v>42</v>
      </c>
      <c r="D19" s="5" t="s">
        <v>43</v>
      </c>
      <c r="E19" s="5" t="s">
        <v>85</v>
      </c>
      <c r="F19" s="6" t="n">
        <v>45352</v>
      </c>
      <c r="G19" s="5" t="s">
        <v>45</v>
      </c>
      <c r="H19" s="7" t="n">
        <v>999</v>
      </c>
      <c r="I19" s="4" t="n">
        <v>3</v>
      </c>
      <c r="J19" s="8" t="n">
        <f aca="false">ROUND(MIN(H19,H19/I19*(Assumptions!$B$4-F19)/365.25),2)</f>
        <v>864.3</v>
      </c>
      <c r="K19" s="8" t="n">
        <f aca="false">H19-J19</f>
        <v>134.7</v>
      </c>
      <c r="L19" s="4" t="s">
        <v>81</v>
      </c>
      <c r="M19" s="4" t="s">
        <v>31</v>
      </c>
      <c r="N19" s="9" t="str">
        <f aca="false">IF(L19="","— (unassigned)",INDEX('Employee Lookup'!$B$5:$B$24,MATCH(L19,'Employee Lookup'!$A$5:$A$24,0)))</f>
        <v>Olivia Hughes</v>
      </c>
      <c r="O19" s="9" t="str">
        <f aca="false">IF(L19="","—",INDEX('Employee Lookup'!$C$5:$C$24,MATCH(L19,'Employee Lookup'!$A$5:$A$24,0)))</f>
        <v>Human Resources</v>
      </c>
      <c r="P19" s="5" t="s">
        <v>32</v>
      </c>
      <c r="Q19" s="4" t="s">
        <v>46</v>
      </c>
      <c r="R19" s="4" t="s">
        <v>34</v>
      </c>
      <c r="S19" s="6" t="n">
        <v>45717</v>
      </c>
      <c r="T19" s="10" t="str">
        <f aca="false">IF(S19&lt;Assumptions!$B$4,"Expired",IF(S19-Assumptions!$B$4&lt;=Assumptions!$B$6,"Expiring soon","Valid"))</f>
        <v>Expired</v>
      </c>
      <c r="U19" s="6" t="n">
        <v>46203</v>
      </c>
      <c r="V19" s="10" t="str">
        <f aca="false">IF(Assumptions!$B$4-U19&gt;Assumptions!$B$7,"Overdue","OK")</f>
        <v>OK</v>
      </c>
    </row>
    <row r="20" customFormat="false" ht="15" hidden="false" customHeight="false" outlineLevel="0" collapsed="false">
      <c r="A20" s="11" t="s">
        <v>86</v>
      </c>
      <c r="B20" s="12" t="s">
        <v>48</v>
      </c>
      <c r="C20" s="12" t="s">
        <v>49</v>
      </c>
      <c r="D20" s="12" t="s">
        <v>50</v>
      </c>
      <c r="E20" s="12" t="s">
        <v>87</v>
      </c>
      <c r="F20" s="13" t="n">
        <v>43617</v>
      </c>
      <c r="G20" s="12" t="s">
        <v>52</v>
      </c>
      <c r="H20" s="14" t="n">
        <v>650</v>
      </c>
      <c r="I20" s="11" t="n">
        <v>8</v>
      </c>
      <c r="J20" s="15" t="n">
        <f aca="false">ROUND(MIN(H20,H20/I20*(Assumptions!$B$4-F20)/365.25),2)</f>
        <v>596.83</v>
      </c>
      <c r="K20" s="15" t="n">
        <f aca="false">H20-J20</f>
        <v>53.17</v>
      </c>
      <c r="L20" s="11" t="s">
        <v>81</v>
      </c>
      <c r="M20" s="11" t="s">
        <v>31</v>
      </c>
      <c r="N20" s="16" t="str">
        <f aca="false">IF(L20="","— (unassigned)",INDEX('Employee Lookup'!$B$5:$B$24,MATCH(L20,'Employee Lookup'!$A$5:$A$24,0)))</f>
        <v>Olivia Hughes</v>
      </c>
      <c r="O20" s="16" t="str">
        <f aca="false">IF(L20="","—",INDEX('Employee Lookup'!$C$5:$C$24,MATCH(L20,'Employee Lookup'!$A$5:$A$24,0)))</f>
        <v>Human Resources</v>
      </c>
      <c r="P20" s="12" t="s">
        <v>32</v>
      </c>
      <c r="Q20" s="11" t="s">
        <v>33</v>
      </c>
      <c r="R20" s="11" t="s">
        <v>34</v>
      </c>
      <c r="S20" s="13" t="n">
        <v>45444</v>
      </c>
      <c r="T20" s="17" t="str">
        <f aca="false">IF(S20&lt;Assumptions!$B$4,"Expired",IF(S20-Assumptions!$B$4&lt;=Assumptions!$B$6,"Expiring soon","Valid"))</f>
        <v>Expired</v>
      </c>
      <c r="U20" s="13" t="n">
        <v>46203</v>
      </c>
      <c r="V20" s="17" t="str">
        <f aca="false">IF(Assumptions!$B$4-U20&gt;Assumptions!$B$7,"Overdue","OK")</f>
        <v>OK</v>
      </c>
    </row>
    <row r="21" customFormat="false" ht="15" hidden="false" customHeight="false" outlineLevel="0" collapsed="false">
      <c r="A21" s="4" t="s">
        <v>88</v>
      </c>
      <c r="B21" s="5" t="s">
        <v>25</v>
      </c>
      <c r="C21" s="5" t="s">
        <v>63</v>
      </c>
      <c r="D21" s="5" t="s">
        <v>64</v>
      </c>
      <c r="E21" s="5" t="s">
        <v>89</v>
      </c>
      <c r="F21" s="6" t="n">
        <v>45181</v>
      </c>
      <c r="G21" s="5" t="s">
        <v>66</v>
      </c>
      <c r="H21" s="7" t="n">
        <v>2400</v>
      </c>
      <c r="I21" s="4" t="n">
        <v>4</v>
      </c>
      <c r="J21" s="8" t="n">
        <f aca="false">ROUND(MIN(H21,H21/I21*(Assumptions!$B$4-F21)/365.25),2)</f>
        <v>1838.19</v>
      </c>
      <c r="K21" s="8" t="n">
        <f aca="false">H21-J21</f>
        <v>561.81</v>
      </c>
      <c r="L21" s="4" t="s">
        <v>90</v>
      </c>
      <c r="M21" s="4" t="s">
        <v>31</v>
      </c>
      <c r="N21" s="9" t="str">
        <f aca="false">IF(L21="","— (unassigned)",INDEX('Employee Lookup'!$B$5:$B$24,MATCH(L21,'Employee Lookup'!$A$5:$A$24,0)))</f>
        <v>Ethan Brooks</v>
      </c>
      <c r="O21" s="9" t="str">
        <f aca="false">IF(L21="","—",INDEX('Employee Lookup'!$C$5:$C$24,MATCH(L21,'Employee Lookup'!$A$5:$A$24,0)))</f>
        <v>Technology</v>
      </c>
      <c r="P21" s="5" t="s">
        <v>32</v>
      </c>
      <c r="Q21" s="4" t="s">
        <v>91</v>
      </c>
      <c r="R21" s="4" t="s">
        <v>92</v>
      </c>
      <c r="S21" s="6" t="n">
        <v>46277</v>
      </c>
      <c r="T21" s="10" t="str">
        <f aca="false">IF(S21&lt;Assumptions!$B$4,"Expired",IF(S21-Assumptions!$B$4&lt;=Assumptions!$B$6,"Expiring soon","Valid"))</f>
        <v>Expired</v>
      </c>
      <c r="U21" s="6" t="n">
        <v>46203</v>
      </c>
      <c r="V21" s="10" t="str">
        <f aca="false">IF(Assumptions!$B$4-U21&gt;Assumptions!$B$7,"Overdue","OK")</f>
        <v>OK</v>
      </c>
    </row>
    <row r="22" customFormat="false" ht="15" hidden="false" customHeight="false" outlineLevel="0" collapsed="false">
      <c r="A22" s="11" t="s">
        <v>93</v>
      </c>
      <c r="B22" s="12" t="s">
        <v>36</v>
      </c>
      <c r="C22" s="12" t="s">
        <v>37</v>
      </c>
      <c r="D22" s="12" t="s">
        <v>38</v>
      </c>
      <c r="E22" s="12" t="s">
        <v>94</v>
      </c>
      <c r="F22" s="13" t="n">
        <v>45181</v>
      </c>
      <c r="G22" s="12" t="s">
        <v>29</v>
      </c>
      <c r="H22" s="14" t="n">
        <v>320</v>
      </c>
      <c r="I22" s="11" t="n">
        <v>5</v>
      </c>
      <c r="J22" s="15" t="n">
        <f aca="false">ROUND(MIN(H22,H22/I22*(Assumptions!$B$4-F22)/365.25),2)</f>
        <v>196.07</v>
      </c>
      <c r="K22" s="15" t="n">
        <f aca="false">H22-J22</f>
        <v>123.93</v>
      </c>
      <c r="L22" s="11" t="s">
        <v>90</v>
      </c>
      <c r="M22" s="11" t="s">
        <v>31</v>
      </c>
      <c r="N22" s="16" t="str">
        <f aca="false">IF(L22="","— (unassigned)",INDEX('Employee Lookup'!$B$5:$B$24,MATCH(L22,'Employee Lookup'!$A$5:$A$24,0)))</f>
        <v>Ethan Brooks</v>
      </c>
      <c r="O22" s="16" t="str">
        <f aca="false">IF(L22="","—",INDEX('Employee Lookup'!$C$5:$C$24,MATCH(L22,'Employee Lookup'!$A$5:$A$24,0)))</f>
        <v>Technology</v>
      </c>
      <c r="P22" s="12" t="s">
        <v>32</v>
      </c>
      <c r="Q22" s="11" t="s">
        <v>33</v>
      </c>
      <c r="R22" s="11" t="s">
        <v>34</v>
      </c>
      <c r="S22" s="13" t="n">
        <v>46277</v>
      </c>
      <c r="T22" s="17" t="str">
        <f aca="false">IF(S22&lt;Assumptions!$B$4,"Expired",IF(S22-Assumptions!$B$4&lt;=Assumptions!$B$6,"Expiring soon","Valid"))</f>
        <v>Expired</v>
      </c>
      <c r="U22" s="13" t="n">
        <v>46203</v>
      </c>
      <c r="V22" s="17" t="str">
        <f aca="false">IF(Assumptions!$B$4-U22&gt;Assumptions!$B$7,"Overdue","OK")</f>
        <v>OK</v>
      </c>
    </row>
    <row r="23" customFormat="false" ht="15" hidden="false" customHeight="false" outlineLevel="0" collapsed="false">
      <c r="A23" s="4" t="s">
        <v>95</v>
      </c>
      <c r="B23" s="5" t="s">
        <v>71</v>
      </c>
      <c r="C23" s="5" t="s">
        <v>72</v>
      </c>
      <c r="D23" s="5" t="s">
        <v>73</v>
      </c>
      <c r="E23" s="5" t="s">
        <v>96</v>
      </c>
      <c r="F23" s="6" t="n">
        <v>45181</v>
      </c>
      <c r="G23" s="5" t="s">
        <v>29</v>
      </c>
      <c r="H23" s="7" t="n">
        <v>240</v>
      </c>
      <c r="I23" s="4" t="n">
        <v>5</v>
      </c>
      <c r="J23" s="8" t="n">
        <f aca="false">ROUND(MIN(H23,H23/I23*(Assumptions!$B$4-F23)/365.25),2)</f>
        <v>147.06</v>
      </c>
      <c r="K23" s="8" t="n">
        <f aca="false">H23-J23</f>
        <v>92.94</v>
      </c>
      <c r="L23" s="4" t="s">
        <v>90</v>
      </c>
      <c r="M23" s="4" t="s">
        <v>31</v>
      </c>
      <c r="N23" s="9" t="str">
        <f aca="false">IF(L23="","— (unassigned)",INDEX('Employee Lookup'!$B$5:$B$24,MATCH(L23,'Employee Lookup'!$A$5:$A$24,0)))</f>
        <v>Ethan Brooks</v>
      </c>
      <c r="O23" s="9" t="str">
        <f aca="false">IF(L23="","—",INDEX('Employee Lookup'!$C$5:$C$24,MATCH(L23,'Employee Lookup'!$A$5:$A$24,0)))</f>
        <v>Technology</v>
      </c>
      <c r="P23" s="5" t="s">
        <v>32</v>
      </c>
      <c r="Q23" s="4" t="s">
        <v>33</v>
      </c>
      <c r="R23" s="4" t="s">
        <v>34</v>
      </c>
      <c r="S23" s="6" t="n">
        <v>46277</v>
      </c>
      <c r="T23" s="10" t="str">
        <f aca="false">IF(S23&lt;Assumptions!$B$4,"Expired",IF(S23-Assumptions!$B$4&lt;=Assumptions!$B$6,"Expiring soon","Valid"))</f>
        <v>Expired</v>
      </c>
      <c r="U23" s="6" t="n">
        <v>46203</v>
      </c>
      <c r="V23" s="10" t="str">
        <f aca="false">IF(Assumptions!$B$4-U23&gt;Assumptions!$B$7,"Overdue","OK")</f>
        <v>OK</v>
      </c>
    </row>
    <row r="24" customFormat="false" ht="15" hidden="false" customHeight="false" outlineLevel="0" collapsed="false">
      <c r="A24" s="11" t="s">
        <v>97</v>
      </c>
      <c r="B24" s="12" t="s">
        <v>48</v>
      </c>
      <c r="C24" s="12" t="s">
        <v>49</v>
      </c>
      <c r="D24" s="12" t="s">
        <v>50</v>
      </c>
      <c r="E24" s="12" t="s">
        <v>98</v>
      </c>
      <c r="F24" s="13" t="n">
        <v>43617</v>
      </c>
      <c r="G24" s="12" t="s">
        <v>52</v>
      </c>
      <c r="H24" s="14" t="n">
        <v>650</v>
      </c>
      <c r="I24" s="11" t="n">
        <v>8</v>
      </c>
      <c r="J24" s="15" t="n">
        <f aca="false">ROUND(MIN(H24,H24/I24*(Assumptions!$B$4-F24)/365.25),2)</f>
        <v>596.83</v>
      </c>
      <c r="K24" s="15" t="n">
        <f aca="false">H24-J24</f>
        <v>53.17</v>
      </c>
      <c r="L24" s="11" t="s">
        <v>90</v>
      </c>
      <c r="M24" s="11" t="s">
        <v>31</v>
      </c>
      <c r="N24" s="16" t="str">
        <f aca="false">IF(L24="","— (unassigned)",INDEX('Employee Lookup'!$B$5:$B$24,MATCH(L24,'Employee Lookup'!$A$5:$A$24,0)))</f>
        <v>Ethan Brooks</v>
      </c>
      <c r="O24" s="16" t="str">
        <f aca="false">IF(L24="","—",INDEX('Employee Lookup'!$C$5:$C$24,MATCH(L24,'Employee Lookup'!$A$5:$A$24,0)))</f>
        <v>Technology</v>
      </c>
      <c r="P24" s="12" t="s">
        <v>32</v>
      </c>
      <c r="Q24" s="11" t="s">
        <v>33</v>
      </c>
      <c r="R24" s="11" t="s">
        <v>34</v>
      </c>
      <c r="S24" s="13" t="n">
        <v>45444</v>
      </c>
      <c r="T24" s="17" t="str">
        <f aca="false">IF(S24&lt;Assumptions!$B$4,"Expired",IF(S24-Assumptions!$B$4&lt;=Assumptions!$B$6,"Expiring soon","Valid"))</f>
        <v>Expired</v>
      </c>
      <c r="U24" s="13" t="n">
        <v>46203</v>
      </c>
      <c r="V24" s="17" t="str">
        <f aca="false">IF(Assumptions!$B$4-U24&gt;Assumptions!$B$7,"Overdue","OK")</f>
        <v>OK</v>
      </c>
    </row>
    <row r="25" customFormat="false" ht="15" hidden="false" customHeight="false" outlineLevel="0" collapsed="false">
      <c r="A25" s="4" t="s">
        <v>99</v>
      </c>
      <c r="B25" s="5" t="s">
        <v>25</v>
      </c>
      <c r="C25" s="5" t="s">
        <v>63</v>
      </c>
      <c r="D25" s="5" t="s">
        <v>64</v>
      </c>
      <c r="E25" s="5" t="s">
        <v>100</v>
      </c>
      <c r="F25" s="6" t="n">
        <v>45335</v>
      </c>
      <c r="G25" s="5" t="s">
        <v>66</v>
      </c>
      <c r="H25" s="7" t="n">
        <v>2400</v>
      </c>
      <c r="I25" s="4" t="n">
        <v>4</v>
      </c>
      <c r="J25" s="8" t="n">
        <f aca="false">ROUND(MIN(H25,H25/I25*(Assumptions!$B$4-F25)/365.25),2)</f>
        <v>1585.22</v>
      </c>
      <c r="K25" s="8" t="n">
        <f aca="false">H25-J25</f>
        <v>814.78</v>
      </c>
      <c r="L25" s="4" t="s">
        <v>101</v>
      </c>
      <c r="M25" s="4" t="s">
        <v>31</v>
      </c>
      <c r="N25" s="9" t="str">
        <f aca="false">IF(L25="","— (unassigned)",INDEX('Employee Lookup'!$B$5:$B$24,MATCH(L25,'Employee Lookup'!$A$5:$A$24,0)))</f>
        <v>Isabella Foster</v>
      </c>
      <c r="O25" s="9" t="str">
        <f aca="false">IF(L25="","—",INDEX('Employee Lookup'!$C$5:$C$24,MATCH(L25,'Employee Lookup'!$A$5:$A$24,0)))</f>
        <v>Technology</v>
      </c>
      <c r="P25" s="5" t="s">
        <v>32</v>
      </c>
      <c r="Q25" s="4" t="s">
        <v>46</v>
      </c>
      <c r="R25" s="4" t="s">
        <v>34</v>
      </c>
      <c r="S25" s="6" t="n">
        <v>46431</v>
      </c>
      <c r="T25" s="10" t="str">
        <f aca="false">IF(S25&lt;Assumptions!$B$4,"Expired",IF(S25-Assumptions!$B$4&lt;=Assumptions!$B$6,"Expiring soon","Valid"))</f>
        <v>Valid</v>
      </c>
      <c r="U25" s="6" t="n">
        <v>46203</v>
      </c>
      <c r="V25" s="10" t="str">
        <f aca="false">IF(Assumptions!$B$4-U25&gt;Assumptions!$B$7,"Overdue","OK")</f>
        <v>OK</v>
      </c>
    </row>
    <row r="26" customFormat="false" ht="15" hidden="false" customHeight="false" outlineLevel="0" collapsed="false">
      <c r="A26" s="11" t="s">
        <v>102</v>
      </c>
      <c r="B26" s="12" t="s">
        <v>36</v>
      </c>
      <c r="C26" s="12" t="s">
        <v>37</v>
      </c>
      <c r="D26" s="12" t="s">
        <v>38</v>
      </c>
      <c r="E26" s="12" t="s">
        <v>103</v>
      </c>
      <c r="F26" s="13" t="n">
        <v>45335</v>
      </c>
      <c r="G26" s="12" t="s">
        <v>29</v>
      </c>
      <c r="H26" s="14" t="n">
        <v>320</v>
      </c>
      <c r="I26" s="11" t="n">
        <v>5</v>
      </c>
      <c r="J26" s="15" t="n">
        <f aca="false">ROUND(MIN(H26,H26/I26*(Assumptions!$B$4-F26)/365.25),2)</f>
        <v>169.09</v>
      </c>
      <c r="K26" s="15" t="n">
        <f aca="false">H26-J26</f>
        <v>150.91</v>
      </c>
      <c r="L26" s="11" t="s">
        <v>101</v>
      </c>
      <c r="M26" s="11" t="s">
        <v>31</v>
      </c>
      <c r="N26" s="16" t="str">
        <f aca="false">IF(L26="","— (unassigned)",INDEX('Employee Lookup'!$B$5:$B$24,MATCH(L26,'Employee Lookup'!$A$5:$A$24,0)))</f>
        <v>Isabella Foster</v>
      </c>
      <c r="O26" s="16" t="str">
        <f aca="false">IF(L26="","—",INDEX('Employee Lookup'!$C$5:$C$24,MATCH(L26,'Employee Lookup'!$A$5:$A$24,0)))</f>
        <v>Technology</v>
      </c>
      <c r="P26" s="12" t="s">
        <v>32</v>
      </c>
      <c r="Q26" s="11" t="s">
        <v>46</v>
      </c>
      <c r="R26" s="11" t="s">
        <v>34</v>
      </c>
      <c r="S26" s="13" t="n">
        <v>46431</v>
      </c>
      <c r="T26" s="17" t="str">
        <f aca="false">IF(S26&lt;Assumptions!$B$4,"Expired",IF(S26-Assumptions!$B$4&lt;=Assumptions!$B$6,"Expiring soon","Valid"))</f>
        <v>Valid</v>
      </c>
      <c r="U26" s="13" t="n">
        <v>46203</v>
      </c>
      <c r="V26" s="17" t="str">
        <f aca="false">IF(Assumptions!$B$4-U26&gt;Assumptions!$B$7,"Overdue","OK")</f>
        <v>OK</v>
      </c>
    </row>
    <row r="27" customFormat="false" ht="15" hidden="false" customHeight="false" outlineLevel="0" collapsed="false">
      <c r="A27" s="4" t="s">
        <v>104</v>
      </c>
      <c r="B27" s="5" t="s">
        <v>71</v>
      </c>
      <c r="C27" s="5" t="s">
        <v>72</v>
      </c>
      <c r="D27" s="5" t="s">
        <v>73</v>
      </c>
      <c r="E27" s="5" t="s">
        <v>105</v>
      </c>
      <c r="F27" s="6" t="n">
        <v>45335</v>
      </c>
      <c r="G27" s="5" t="s">
        <v>29</v>
      </c>
      <c r="H27" s="7" t="n">
        <v>240</v>
      </c>
      <c r="I27" s="4" t="n">
        <v>5</v>
      </c>
      <c r="J27" s="8" t="n">
        <f aca="false">ROUND(MIN(H27,H27/I27*(Assumptions!$B$4-F27)/365.25),2)</f>
        <v>126.82</v>
      </c>
      <c r="K27" s="8" t="n">
        <f aca="false">H27-J27</f>
        <v>113.18</v>
      </c>
      <c r="L27" s="4" t="s">
        <v>101</v>
      </c>
      <c r="M27" s="4" t="s">
        <v>31</v>
      </c>
      <c r="N27" s="9" t="str">
        <f aca="false">IF(L27="","— (unassigned)",INDEX('Employee Lookup'!$B$5:$B$24,MATCH(L27,'Employee Lookup'!$A$5:$A$24,0)))</f>
        <v>Isabella Foster</v>
      </c>
      <c r="O27" s="9" t="str">
        <f aca="false">IF(L27="","—",INDEX('Employee Lookup'!$C$5:$C$24,MATCH(L27,'Employee Lookup'!$A$5:$A$24,0)))</f>
        <v>Technology</v>
      </c>
      <c r="P27" s="5" t="s">
        <v>32</v>
      </c>
      <c r="Q27" s="4" t="s">
        <v>46</v>
      </c>
      <c r="R27" s="4" t="s">
        <v>34</v>
      </c>
      <c r="S27" s="6" t="n">
        <v>46431</v>
      </c>
      <c r="T27" s="10" t="str">
        <f aca="false">IF(S27&lt;Assumptions!$B$4,"Expired",IF(S27-Assumptions!$B$4&lt;=Assumptions!$B$6,"Expiring soon","Valid"))</f>
        <v>Valid</v>
      </c>
      <c r="U27" s="6" t="n">
        <v>46006</v>
      </c>
      <c r="V27" s="10" t="str">
        <f aca="false">IF(Assumptions!$B$4-U27&gt;Assumptions!$B$7,"Overdue","OK")</f>
        <v>OK</v>
      </c>
    </row>
    <row r="28" customFormat="false" ht="15" hidden="false" customHeight="false" outlineLevel="0" collapsed="false">
      <c r="A28" s="11" t="s">
        <v>106</v>
      </c>
      <c r="B28" s="12" t="s">
        <v>48</v>
      </c>
      <c r="C28" s="12" t="s">
        <v>49</v>
      </c>
      <c r="D28" s="12" t="s">
        <v>50</v>
      </c>
      <c r="E28" s="12" t="s">
        <v>107</v>
      </c>
      <c r="F28" s="13" t="n">
        <v>43682</v>
      </c>
      <c r="G28" s="12" t="s">
        <v>52</v>
      </c>
      <c r="H28" s="14" t="n">
        <v>650</v>
      </c>
      <c r="I28" s="11" t="n">
        <v>8</v>
      </c>
      <c r="J28" s="15" t="n">
        <f aca="false">ROUND(MIN(H28,H28/I28*(Assumptions!$B$4-F28)/365.25),2)</f>
        <v>582.38</v>
      </c>
      <c r="K28" s="15" t="n">
        <f aca="false">H28-J28</f>
        <v>67.62</v>
      </c>
      <c r="L28" s="11" t="s">
        <v>101</v>
      </c>
      <c r="M28" s="11" t="s">
        <v>31</v>
      </c>
      <c r="N28" s="16" t="str">
        <f aca="false">IF(L28="","— (unassigned)",INDEX('Employee Lookup'!$B$5:$B$24,MATCH(L28,'Employee Lookup'!$A$5:$A$24,0)))</f>
        <v>Isabella Foster</v>
      </c>
      <c r="O28" s="16" t="str">
        <f aca="false">IF(L28="","—",INDEX('Employee Lookup'!$C$5:$C$24,MATCH(L28,'Employee Lookup'!$A$5:$A$24,0)))</f>
        <v>Technology</v>
      </c>
      <c r="P28" s="12" t="s">
        <v>32</v>
      </c>
      <c r="Q28" s="11" t="s">
        <v>33</v>
      </c>
      <c r="R28" s="11" t="s">
        <v>34</v>
      </c>
      <c r="S28" s="13" t="n">
        <v>45509</v>
      </c>
      <c r="T28" s="17" t="str">
        <f aca="false">IF(S28&lt;Assumptions!$B$4,"Expired",IF(S28-Assumptions!$B$4&lt;=Assumptions!$B$6,"Expiring soon","Valid"))</f>
        <v>Expired</v>
      </c>
      <c r="U28" s="13" t="n">
        <v>46203</v>
      </c>
      <c r="V28" s="17" t="str">
        <f aca="false">IF(Assumptions!$B$4-U28&gt;Assumptions!$B$7,"Overdue","OK")</f>
        <v>OK</v>
      </c>
    </row>
    <row r="29" customFormat="false" ht="15" hidden="false" customHeight="false" outlineLevel="0" collapsed="false">
      <c r="A29" s="4" t="s">
        <v>108</v>
      </c>
      <c r="B29" s="5" t="s">
        <v>25</v>
      </c>
      <c r="C29" s="5" t="s">
        <v>63</v>
      </c>
      <c r="D29" s="5" t="s">
        <v>64</v>
      </c>
      <c r="E29" s="5" t="s">
        <v>109</v>
      </c>
      <c r="F29" s="6" t="n">
        <v>44756</v>
      </c>
      <c r="G29" s="5" t="s">
        <v>66</v>
      </c>
      <c r="H29" s="7" t="n">
        <v>2400</v>
      </c>
      <c r="I29" s="4" t="n">
        <v>4</v>
      </c>
      <c r="J29" s="8" t="n">
        <f aca="false">ROUND(MIN(H29,H29/I29*(Assumptions!$B$4-F29)/365.25),2)</f>
        <v>2400</v>
      </c>
      <c r="K29" s="8" t="n">
        <f aca="false">H29-J29</f>
        <v>0</v>
      </c>
      <c r="L29" s="4" t="s">
        <v>110</v>
      </c>
      <c r="M29" s="4" t="s">
        <v>31</v>
      </c>
      <c r="N29" s="9" t="str">
        <f aca="false">IF(L29="","— (unassigned)",INDEX('Employee Lookup'!$B$5:$B$24,MATCH(L29,'Employee Lookup'!$A$5:$A$24,0)))</f>
        <v>Liam Sanders</v>
      </c>
      <c r="O29" s="9" t="str">
        <f aca="false">IF(L29="","—",INDEX('Employee Lookup'!$C$5:$C$24,MATCH(L29,'Employee Lookup'!$A$5:$A$24,0)))</f>
        <v>Technology</v>
      </c>
      <c r="P29" s="5" t="s">
        <v>111</v>
      </c>
      <c r="Q29" s="4" t="s">
        <v>33</v>
      </c>
      <c r="R29" s="4" t="s">
        <v>34</v>
      </c>
      <c r="S29" s="6" t="n">
        <v>45852</v>
      </c>
      <c r="T29" s="10" t="str">
        <f aca="false">IF(S29&lt;Assumptions!$B$4,"Expired",IF(S29-Assumptions!$B$4&lt;=Assumptions!$B$6,"Expiring soon","Valid"))</f>
        <v>Expired</v>
      </c>
      <c r="U29" s="6" t="n">
        <v>46203</v>
      </c>
      <c r="V29" s="10" t="str">
        <f aca="false">IF(Assumptions!$B$4-U29&gt;Assumptions!$B$7,"Overdue","OK")</f>
        <v>OK</v>
      </c>
    </row>
    <row r="30" customFormat="false" ht="15" hidden="false" customHeight="false" outlineLevel="0" collapsed="false">
      <c r="A30" s="11" t="s">
        <v>112</v>
      </c>
      <c r="B30" s="12" t="s">
        <v>36</v>
      </c>
      <c r="C30" s="12" t="s">
        <v>37</v>
      </c>
      <c r="D30" s="12" t="s">
        <v>38</v>
      </c>
      <c r="E30" s="12" t="s">
        <v>113</v>
      </c>
      <c r="F30" s="13" t="n">
        <v>44756</v>
      </c>
      <c r="G30" s="12" t="s">
        <v>29</v>
      </c>
      <c r="H30" s="14" t="n">
        <v>320</v>
      </c>
      <c r="I30" s="11" t="n">
        <v>5</v>
      </c>
      <c r="J30" s="15" t="n">
        <f aca="false">ROUND(MIN(H30,H30/I30*(Assumptions!$B$4-F30)/365.25),2)</f>
        <v>270.54</v>
      </c>
      <c r="K30" s="15" t="n">
        <f aca="false">H30-J30</f>
        <v>49.46</v>
      </c>
      <c r="L30" s="11" t="s">
        <v>110</v>
      </c>
      <c r="M30" s="11" t="s">
        <v>31</v>
      </c>
      <c r="N30" s="16" t="str">
        <f aca="false">IF(L30="","— (unassigned)",INDEX('Employee Lookup'!$B$5:$B$24,MATCH(L30,'Employee Lookup'!$A$5:$A$24,0)))</f>
        <v>Liam Sanders</v>
      </c>
      <c r="O30" s="16" t="str">
        <f aca="false">IF(L30="","—",INDEX('Employee Lookup'!$C$5:$C$24,MATCH(L30,'Employee Lookup'!$A$5:$A$24,0)))</f>
        <v>Technology</v>
      </c>
      <c r="P30" s="12" t="s">
        <v>111</v>
      </c>
      <c r="Q30" s="11" t="s">
        <v>33</v>
      </c>
      <c r="R30" s="11" t="s">
        <v>34</v>
      </c>
      <c r="S30" s="13" t="n">
        <v>45852</v>
      </c>
      <c r="T30" s="17" t="str">
        <f aca="false">IF(S30&lt;Assumptions!$B$4,"Expired",IF(S30-Assumptions!$B$4&lt;=Assumptions!$B$6,"Expiring soon","Valid"))</f>
        <v>Expired</v>
      </c>
      <c r="U30" s="13" t="n">
        <v>46203</v>
      </c>
      <c r="V30" s="17" t="str">
        <f aca="false">IF(Assumptions!$B$4-U30&gt;Assumptions!$B$7,"Overdue","OK")</f>
        <v>OK</v>
      </c>
    </row>
    <row r="31" customFormat="false" ht="15" hidden="false" customHeight="false" outlineLevel="0" collapsed="false">
      <c r="A31" s="4" t="s">
        <v>114</v>
      </c>
      <c r="B31" s="5" t="s">
        <v>71</v>
      </c>
      <c r="C31" s="5" t="s">
        <v>72</v>
      </c>
      <c r="D31" s="5" t="s">
        <v>73</v>
      </c>
      <c r="E31" s="5" t="s">
        <v>115</v>
      </c>
      <c r="F31" s="6" t="n">
        <v>44756</v>
      </c>
      <c r="G31" s="5" t="s">
        <v>29</v>
      </c>
      <c r="H31" s="7" t="n">
        <v>240</v>
      </c>
      <c r="I31" s="4" t="n">
        <v>5</v>
      </c>
      <c r="J31" s="8" t="n">
        <f aca="false">ROUND(MIN(H31,H31/I31*(Assumptions!$B$4-F31)/365.25),2)</f>
        <v>202.91</v>
      </c>
      <c r="K31" s="8" t="n">
        <f aca="false">H31-J31</f>
        <v>37.09</v>
      </c>
      <c r="L31" s="4" t="s">
        <v>110</v>
      </c>
      <c r="M31" s="4" t="s">
        <v>31</v>
      </c>
      <c r="N31" s="9" t="str">
        <f aca="false">IF(L31="","— (unassigned)",INDEX('Employee Lookup'!$B$5:$B$24,MATCH(L31,'Employee Lookup'!$A$5:$A$24,0)))</f>
        <v>Liam Sanders</v>
      </c>
      <c r="O31" s="9" t="str">
        <f aca="false">IF(L31="","—",INDEX('Employee Lookup'!$C$5:$C$24,MATCH(L31,'Employee Lookup'!$A$5:$A$24,0)))</f>
        <v>Technology</v>
      </c>
      <c r="P31" s="5" t="s">
        <v>111</v>
      </c>
      <c r="Q31" s="4" t="s">
        <v>33</v>
      </c>
      <c r="R31" s="4" t="s">
        <v>34</v>
      </c>
      <c r="S31" s="6" t="n">
        <v>45852</v>
      </c>
      <c r="T31" s="10" t="str">
        <f aca="false">IF(S31&lt;Assumptions!$B$4,"Expired",IF(S31-Assumptions!$B$4&lt;=Assumptions!$B$6,"Expiring soon","Valid"))</f>
        <v>Expired</v>
      </c>
      <c r="U31" s="6" t="n">
        <v>46203</v>
      </c>
      <c r="V31" s="10" t="str">
        <f aca="false">IF(Assumptions!$B$4-U31&gt;Assumptions!$B$7,"Overdue","OK")</f>
        <v>OK</v>
      </c>
    </row>
    <row r="32" customFormat="false" ht="15" hidden="false" customHeight="false" outlineLevel="0" collapsed="false">
      <c r="A32" s="11" t="s">
        <v>116</v>
      </c>
      <c r="B32" s="12" t="s">
        <v>117</v>
      </c>
      <c r="C32" s="12" t="s">
        <v>118</v>
      </c>
      <c r="D32" s="12" t="s">
        <v>119</v>
      </c>
      <c r="E32" s="12" t="s">
        <v>120</v>
      </c>
      <c r="F32" s="13" t="n">
        <v>44756</v>
      </c>
      <c r="G32" s="12" t="s">
        <v>121</v>
      </c>
      <c r="H32" s="14" t="n">
        <v>180</v>
      </c>
      <c r="I32" s="11" t="n">
        <v>3</v>
      </c>
      <c r="J32" s="15" t="n">
        <f aca="false">ROUND(MIN(H32,H32/I32*(Assumptions!$B$4-F32)/365.25),2)</f>
        <v>180</v>
      </c>
      <c r="K32" s="15" t="n">
        <f aca="false">H32-J32</f>
        <v>0</v>
      </c>
      <c r="L32" s="11" t="s">
        <v>110</v>
      </c>
      <c r="M32" s="11" t="s">
        <v>31</v>
      </c>
      <c r="N32" s="16" t="str">
        <f aca="false">IF(L32="","— (unassigned)",INDEX('Employee Lookup'!$B$5:$B$24,MATCH(L32,'Employee Lookup'!$A$5:$A$24,0)))</f>
        <v>Liam Sanders</v>
      </c>
      <c r="O32" s="16" t="str">
        <f aca="false">IF(L32="","—",INDEX('Employee Lookup'!$C$5:$C$24,MATCH(L32,'Employee Lookup'!$A$5:$A$24,0)))</f>
        <v>Technology</v>
      </c>
      <c r="P32" s="12" t="s">
        <v>111</v>
      </c>
      <c r="Q32" s="11" t="s">
        <v>46</v>
      </c>
      <c r="R32" s="11" t="s">
        <v>34</v>
      </c>
      <c r="S32" s="13" t="n">
        <v>45487</v>
      </c>
      <c r="T32" s="17" t="str">
        <f aca="false">IF(S32&lt;Assumptions!$B$4,"Expired",IF(S32-Assumptions!$B$4&lt;=Assumptions!$B$6,"Expiring soon","Valid"))</f>
        <v>Expired</v>
      </c>
      <c r="U32" s="13" t="n">
        <v>46203</v>
      </c>
      <c r="V32" s="17" t="str">
        <f aca="false">IF(Assumptions!$B$4-U32&gt;Assumptions!$B$7,"Overdue","OK")</f>
        <v>OK</v>
      </c>
    </row>
    <row r="33" customFormat="false" ht="15" hidden="false" customHeight="false" outlineLevel="0" collapsed="false">
      <c r="A33" s="4" t="s">
        <v>122</v>
      </c>
      <c r="B33" s="5" t="s">
        <v>48</v>
      </c>
      <c r="C33" s="5" t="s">
        <v>123</v>
      </c>
      <c r="D33" s="5" t="s">
        <v>124</v>
      </c>
      <c r="E33" s="5" t="s">
        <v>125</v>
      </c>
      <c r="F33" s="6" t="n">
        <v>44756</v>
      </c>
      <c r="G33" s="5" t="s">
        <v>52</v>
      </c>
      <c r="H33" s="7" t="n">
        <v>300</v>
      </c>
      <c r="I33" s="4" t="n">
        <v>8</v>
      </c>
      <c r="J33" s="8" t="n">
        <f aca="false">ROUND(MIN(H33,H33/I33*(Assumptions!$B$4-F33)/365.25),2)</f>
        <v>158.52</v>
      </c>
      <c r="K33" s="8" t="n">
        <f aca="false">H33-J33</f>
        <v>141.48</v>
      </c>
      <c r="L33" s="4" t="s">
        <v>110</v>
      </c>
      <c r="M33" s="4" t="s">
        <v>31</v>
      </c>
      <c r="N33" s="9" t="str">
        <f aca="false">IF(L33="","— (unassigned)",INDEX('Employee Lookup'!$B$5:$B$24,MATCH(L33,'Employee Lookup'!$A$5:$A$24,0)))</f>
        <v>Liam Sanders</v>
      </c>
      <c r="O33" s="9" t="str">
        <f aca="false">IF(L33="","—",INDEX('Employee Lookup'!$C$5:$C$24,MATCH(L33,'Employee Lookup'!$A$5:$A$24,0)))</f>
        <v>Technology</v>
      </c>
      <c r="P33" s="5" t="s">
        <v>111</v>
      </c>
      <c r="Q33" s="4" t="s">
        <v>46</v>
      </c>
      <c r="R33" s="4" t="s">
        <v>34</v>
      </c>
      <c r="S33" s="6" t="n">
        <v>46582</v>
      </c>
      <c r="T33" s="10" t="str">
        <f aca="false">IF(S33&lt;Assumptions!$B$4,"Expired",IF(S33-Assumptions!$B$4&lt;=Assumptions!$B$6,"Expiring soon","Valid"))</f>
        <v>Valid</v>
      </c>
      <c r="U33" s="6" t="n">
        <v>46203</v>
      </c>
      <c r="V33" s="10" t="str">
        <f aca="false">IF(Assumptions!$B$4-U33&gt;Assumptions!$B$7,"Overdue","OK")</f>
        <v>OK</v>
      </c>
    </row>
    <row r="34" customFormat="false" ht="15" hidden="false" customHeight="false" outlineLevel="0" collapsed="false">
      <c r="A34" s="11" t="s">
        <v>126</v>
      </c>
      <c r="B34" s="12" t="s">
        <v>25</v>
      </c>
      <c r="C34" s="12" t="s">
        <v>63</v>
      </c>
      <c r="D34" s="12" t="s">
        <v>64</v>
      </c>
      <c r="E34" s="12" t="s">
        <v>127</v>
      </c>
      <c r="F34" s="13" t="n">
        <v>45275</v>
      </c>
      <c r="G34" s="12" t="s">
        <v>66</v>
      </c>
      <c r="H34" s="14" t="n">
        <v>2400</v>
      </c>
      <c r="I34" s="11" t="n">
        <v>4</v>
      </c>
      <c r="J34" s="15" t="n">
        <f aca="false">ROUND(MIN(H34,H34/I34*(Assumptions!$B$4-F34)/365.25),2)</f>
        <v>1683.78</v>
      </c>
      <c r="K34" s="15" t="n">
        <f aca="false">H34-J34</f>
        <v>716.22</v>
      </c>
      <c r="L34" s="11" t="s">
        <v>128</v>
      </c>
      <c r="M34" s="11" t="s">
        <v>31</v>
      </c>
      <c r="N34" s="16" t="str">
        <f aca="false">IF(L34="","— (unassigned)",INDEX('Employee Lookup'!$B$5:$B$24,MATCH(L34,'Employee Lookup'!$A$5:$A$24,0)))</f>
        <v>Ava Mitchell</v>
      </c>
      <c r="O34" s="16" t="str">
        <f aca="false">IF(L34="","—",INDEX('Employee Lookup'!$C$5:$C$24,MATCH(L34,'Employee Lookup'!$A$5:$A$24,0)))</f>
        <v>Technology</v>
      </c>
      <c r="P34" s="12" t="s">
        <v>32</v>
      </c>
      <c r="Q34" s="11" t="s">
        <v>46</v>
      </c>
      <c r="R34" s="11" t="s">
        <v>34</v>
      </c>
      <c r="S34" s="13" t="n">
        <v>46371</v>
      </c>
      <c r="T34" s="17" t="str">
        <f aca="false">IF(S34&lt;Assumptions!$B$4,"Expired",IF(S34-Assumptions!$B$4&lt;=Assumptions!$B$6,"Expiring soon","Valid"))</f>
        <v>Expiring soon</v>
      </c>
      <c r="U34" s="13" t="n">
        <v>46203</v>
      </c>
      <c r="V34" s="17" t="str">
        <f aca="false">IF(Assumptions!$B$4-U34&gt;Assumptions!$B$7,"Overdue","OK")</f>
        <v>OK</v>
      </c>
    </row>
    <row r="35" customFormat="false" ht="15" hidden="false" customHeight="false" outlineLevel="0" collapsed="false">
      <c r="A35" s="4" t="s">
        <v>129</v>
      </c>
      <c r="B35" s="5" t="s">
        <v>36</v>
      </c>
      <c r="C35" s="5" t="s">
        <v>37</v>
      </c>
      <c r="D35" s="5" t="s">
        <v>38</v>
      </c>
      <c r="E35" s="5" t="s">
        <v>130</v>
      </c>
      <c r="F35" s="6" t="n">
        <v>45275</v>
      </c>
      <c r="G35" s="5" t="s">
        <v>29</v>
      </c>
      <c r="H35" s="7" t="n">
        <v>320</v>
      </c>
      <c r="I35" s="4" t="n">
        <v>5</v>
      </c>
      <c r="J35" s="8" t="n">
        <f aca="false">ROUND(MIN(H35,H35/I35*(Assumptions!$B$4-F35)/365.25),2)</f>
        <v>179.6</v>
      </c>
      <c r="K35" s="8" t="n">
        <f aca="false">H35-J35</f>
        <v>140.4</v>
      </c>
      <c r="L35" s="4" t="s">
        <v>128</v>
      </c>
      <c r="M35" s="4" t="s">
        <v>31</v>
      </c>
      <c r="N35" s="9" t="str">
        <f aca="false">IF(L35="","— (unassigned)",INDEX('Employee Lookup'!$B$5:$B$24,MATCH(L35,'Employee Lookup'!$A$5:$A$24,0)))</f>
        <v>Ava Mitchell</v>
      </c>
      <c r="O35" s="9" t="str">
        <f aca="false">IF(L35="","—",INDEX('Employee Lookup'!$C$5:$C$24,MATCH(L35,'Employee Lookup'!$A$5:$A$24,0)))</f>
        <v>Technology</v>
      </c>
      <c r="P35" s="5" t="s">
        <v>32</v>
      </c>
      <c r="Q35" s="4" t="s">
        <v>46</v>
      </c>
      <c r="R35" s="4" t="s">
        <v>34</v>
      </c>
      <c r="S35" s="6" t="n">
        <v>46371</v>
      </c>
      <c r="T35" s="10" t="str">
        <f aca="false">IF(S35&lt;Assumptions!$B$4,"Expired",IF(S35-Assumptions!$B$4&lt;=Assumptions!$B$6,"Expiring soon","Valid"))</f>
        <v>Expiring soon</v>
      </c>
      <c r="U35" s="6" t="n">
        <v>46203</v>
      </c>
      <c r="V35" s="10" t="str">
        <f aca="false">IF(Assumptions!$B$4-U35&gt;Assumptions!$B$7,"Overdue","OK")</f>
        <v>OK</v>
      </c>
    </row>
    <row r="36" customFormat="false" ht="15" hidden="false" customHeight="false" outlineLevel="0" collapsed="false">
      <c r="A36" s="11" t="s">
        <v>131</v>
      </c>
      <c r="B36" s="12" t="s">
        <v>71</v>
      </c>
      <c r="C36" s="12" t="s">
        <v>72</v>
      </c>
      <c r="D36" s="12" t="s">
        <v>73</v>
      </c>
      <c r="E36" s="12" t="s">
        <v>132</v>
      </c>
      <c r="F36" s="13" t="n">
        <v>45275</v>
      </c>
      <c r="G36" s="12" t="s">
        <v>29</v>
      </c>
      <c r="H36" s="14" t="n">
        <v>240</v>
      </c>
      <c r="I36" s="11" t="n">
        <v>5</v>
      </c>
      <c r="J36" s="15" t="n">
        <f aca="false">ROUND(MIN(H36,H36/I36*(Assumptions!$B$4-F36)/365.25),2)</f>
        <v>134.7</v>
      </c>
      <c r="K36" s="15" t="n">
        <f aca="false">H36-J36</f>
        <v>105.3</v>
      </c>
      <c r="L36" s="11" t="s">
        <v>128</v>
      </c>
      <c r="M36" s="11" t="s">
        <v>31</v>
      </c>
      <c r="N36" s="16" t="str">
        <f aca="false">IF(L36="","— (unassigned)",INDEX('Employee Lookup'!$B$5:$B$24,MATCH(L36,'Employee Lookup'!$A$5:$A$24,0)))</f>
        <v>Ava Mitchell</v>
      </c>
      <c r="O36" s="16" t="str">
        <f aca="false">IF(L36="","—",INDEX('Employee Lookup'!$C$5:$C$24,MATCH(L36,'Employee Lookup'!$A$5:$A$24,0)))</f>
        <v>Technology</v>
      </c>
      <c r="P36" s="12" t="s">
        <v>32</v>
      </c>
      <c r="Q36" s="11" t="s">
        <v>46</v>
      </c>
      <c r="R36" s="11" t="s">
        <v>34</v>
      </c>
      <c r="S36" s="13" t="n">
        <v>46371</v>
      </c>
      <c r="T36" s="17" t="str">
        <f aca="false">IF(S36&lt;Assumptions!$B$4,"Expired",IF(S36-Assumptions!$B$4&lt;=Assumptions!$B$6,"Expiring soon","Valid"))</f>
        <v>Expiring soon</v>
      </c>
      <c r="U36" s="13" t="n">
        <v>46203</v>
      </c>
      <c r="V36" s="17" t="str">
        <f aca="false">IF(Assumptions!$B$4-U36&gt;Assumptions!$B$7,"Overdue","OK")</f>
        <v>OK</v>
      </c>
    </row>
    <row r="37" customFormat="false" ht="15" hidden="false" customHeight="false" outlineLevel="0" collapsed="false">
      <c r="A37" s="4" t="s">
        <v>133</v>
      </c>
      <c r="B37" s="5" t="s">
        <v>48</v>
      </c>
      <c r="C37" s="5" t="s">
        <v>49</v>
      </c>
      <c r="D37" s="5" t="s">
        <v>50</v>
      </c>
      <c r="E37" s="5" t="s">
        <v>134</v>
      </c>
      <c r="F37" s="6" t="n">
        <v>44263</v>
      </c>
      <c r="G37" s="5" t="s">
        <v>52</v>
      </c>
      <c r="H37" s="7" t="n">
        <v>650</v>
      </c>
      <c r="I37" s="4" t="n">
        <v>8</v>
      </c>
      <c r="J37" s="8" t="n">
        <f aca="false">ROUND(MIN(H37,H37/I37*(Assumptions!$B$4-F37)/365.25),2)</f>
        <v>453.13</v>
      </c>
      <c r="K37" s="8" t="n">
        <f aca="false">H37-J37</f>
        <v>196.87</v>
      </c>
      <c r="L37" s="4" t="s">
        <v>128</v>
      </c>
      <c r="M37" s="4" t="s">
        <v>31</v>
      </c>
      <c r="N37" s="9" t="str">
        <f aca="false">IF(L37="","— (unassigned)",INDEX('Employee Lookup'!$B$5:$B$24,MATCH(L37,'Employee Lookup'!$A$5:$A$24,0)))</f>
        <v>Ava Mitchell</v>
      </c>
      <c r="O37" s="9" t="str">
        <f aca="false">IF(L37="","—",INDEX('Employee Lookup'!$C$5:$C$24,MATCH(L37,'Employee Lookup'!$A$5:$A$24,0)))</f>
        <v>Technology</v>
      </c>
      <c r="P37" s="5" t="s">
        <v>32</v>
      </c>
      <c r="Q37" s="4" t="s">
        <v>46</v>
      </c>
      <c r="R37" s="4" t="s">
        <v>34</v>
      </c>
      <c r="S37" s="6" t="n">
        <v>46089</v>
      </c>
      <c r="T37" s="10" t="str">
        <f aca="false">IF(S37&lt;Assumptions!$B$4,"Expired",IF(S37-Assumptions!$B$4&lt;=Assumptions!$B$6,"Expiring soon","Valid"))</f>
        <v>Expired</v>
      </c>
      <c r="U37" s="6" t="n">
        <v>46203</v>
      </c>
      <c r="V37" s="10" t="str">
        <f aca="false">IF(Assumptions!$B$4-U37&gt;Assumptions!$B$7,"Overdue","OK")</f>
        <v>OK</v>
      </c>
    </row>
    <row r="38" customFormat="false" ht="15" hidden="false" customHeight="false" outlineLevel="0" collapsed="false">
      <c r="A38" s="11" t="s">
        <v>135</v>
      </c>
      <c r="B38" s="12" t="s">
        <v>25</v>
      </c>
      <c r="C38" s="12" t="s">
        <v>136</v>
      </c>
      <c r="D38" s="12" t="s">
        <v>136</v>
      </c>
      <c r="E38" s="12" t="s">
        <v>137</v>
      </c>
      <c r="F38" s="13" t="n">
        <v>45428</v>
      </c>
      <c r="G38" s="12" t="s">
        <v>138</v>
      </c>
      <c r="H38" s="14" t="n">
        <v>1400</v>
      </c>
      <c r="I38" s="11" t="n">
        <v>4</v>
      </c>
      <c r="J38" s="15" t="n">
        <f aca="false">ROUND(MIN(H38,H38/I38*(Assumptions!$B$4-F38)/365.25),2)</f>
        <v>835.59</v>
      </c>
      <c r="K38" s="15" t="n">
        <f aca="false">H38-J38</f>
        <v>564.41</v>
      </c>
      <c r="L38" s="11" t="s">
        <v>139</v>
      </c>
      <c r="M38" s="11" t="s">
        <v>31</v>
      </c>
      <c r="N38" s="16" t="str">
        <f aca="false">IF(L38="","— (unassigned)",INDEX('Employee Lookup'!$B$5:$B$24,MATCH(L38,'Employee Lookup'!$A$5:$A$24,0)))</f>
        <v>Noah Parker</v>
      </c>
      <c r="O38" s="16" t="str">
        <f aca="false">IF(L38="","—",INDEX('Employee Lookup'!$C$5:$C$24,MATCH(L38,'Employee Lookup'!$A$5:$A$24,0)))</f>
        <v>Sales</v>
      </c>
      <c r="P38" s="12" t="s">
        <v>32</v>
      </c>
      <c r="Q38" s="11" t="s">
        <v>46</v>
      </c>
      <c r="R38" s="11" t="s">
        <v>34</v>
      </c>
      <c r="S38" s="13" t="n">
        <v>46523</v>
      </c>
      <c r="T38" s="17" t="str">
        <f aca="false">IF(S38&lt;Assumptions!$B$4,"Expired",IF(S38-Assumptions!$B$4&lt;=Assumptions!$B$6,"Expiring soon","Valid"))</f>
        <v>Valid</v>
      </c>
      <c r="U38" s="13" t="n">
        <v>46006</v>
      </c>
      <c r="V38" s="17" t="str">
        <f aca="false">IF(Assumptions!$B$4-U38&gt;Assumptions!$B$7,"Overdue","OK")</f>
        <v>OK</v>
      </c>
    </row>
    <row r="39" customFormat="false" ht="15" hidden="false" customHeight="false" outlineLevel="0" collapsed="false">
      <c r="A39" s="4" t="s">
        <v>140</v>
      </c>
      <c r="B39" s="5" t="s">
        <v>36</v>
      </c>
      <c r="C39" s="5" t="s">
        <v>37</v>
      </c>
      <c r="D39" s="5" t="s">
        <v>38</v>
      </c>
      <c r="E39" s="5" t="s">
        <v>141</v>
      </c>
      <c r="F39" s="6" t="n">
        <v>45428</v>
      </c>
      <c r="G39" s="5" t="s">
        <v>29</v>
      </c>
      <c r="H39" s="7" t="n">
        <v>320</v>
      </c>
      <c r="I39" s="4" t="n">
        <v>5</v>
      </c>
      <c r="J39" s="8" t="n">
        <f aca="false">ROUND(MIN(H39,H39/I39*(Assumptions!$B$4-F39)/365.25),2)</f>
        <v>152.79</v>
      </c>
      <c r="K39" s="8" t="n">
        <f aca="false">H39-J39</f>
        <v>167.21</v>
      </c>
      <c r="L39" s="4" t="s">
        <v>139</v>
      </c>
      <c r="M39" s="4" t="s">
        <v>31</v>
      </c>
      <c r="N39" s="9" t="str">
        <f aca="false">IF(L39="","— (unassigned)",INDEX('Employee Lookup'!$B$5:$B$24,MATCH(L39,'Employee Lookup'!$A$5:$A$24,0)))</f>
        <v>Noah Parker</v>
      </c>
      <c r="O39" s="9" t="str">
        <f aca="false">IF(L39="","—",INDEX('Employee Lookup'!$C$5:$C$24,MATCH(L39,'Employee Lookup'!$A$5:$A$24,0)))</f>
        <v>Sales</v>
      </c>
      <c r="P39" s="5" t="s">
        <v>32</v>
      </c>
      <c r="Q39" s="4" t="s">
        <v>46</v>
      </c>
      <c r="R39" s="4" t="s">
        <v>34</v>
      </c>
      <c r="S39" s="6" t="n">
        <v>46523</v>
      </c>
      <c r="T39" s="10" t="str">
        <f aca="false">IF(S39&lt;Assumptions!$B$4,"Expired",IF(S39-Assumptions!$B$4&lt;=Assumptions!$B$6,"Expiring soon","Valid"))</f>
        <v>Valid</v>
      </c>
      <c r="U39" s="6" t="n">
        <v>46203</v>
      </c>
      <c r="V39" s="10" t="str">
        <f aca="false">IF(Assumptions!$B$4-U39&gt;Assumptions!$B$7,"Overdue","OK")</f>
        <v>OK</v>
      </c>
    </row>
    <row r="40" customFormat="false" ht="15" hidden="false" customHeight="false" outlineLevel="0" collapsed="false">
      <c r="A40" s="11" t="s">
        <v>142</v>
      </c>
      <c r="B40" s="12" t="s">
        <v>41</v>
      </c>
      <c r="C40" s="12" t="s">
        <v>42</v>
      </c>
      <c r="D40" s="12" t="s">
        <v>43</v>
      </c>
      <c r="E40" s="12" t="s">
        <v>143</v>
      </c>
      <c r="F40" s="13" t="n">
        <v>45352</v>
      </c>
      <c r="G40" s="12" t="s">
        <v>45</v>
      </c>
      <c r="H40" s="14" t="n">
        <v>999</v>
      </c>
      <c r="I40" s="11" t="n">
        <v>3</v>
      </c>
      <c r="J40" s="15" t="n">
        <f aca="false">ROUND(MIN(H40,H40/I40*(Assumptions!$B$4-F40)/365.25),2)</f>
        <v>864.3</v>
      </c>
      <c r="K40" s="15" t="n">
        <f aca="false">H40-J40</f>
        <v>134.7</v>
      </c>
      <c r="L40" s="11" t="s">
        <v>139</v>
      </c>
      <c r="M40" s="11" t="s">
        <v>31</v>
      </c>
      <c r="N40" s="16" t="str">
        <f aca="false">IF(L40="","— (unassigned)",INDEX('Employee Lookup'!$B$5:$B$24,MATCH(L40,'Employee Lookup'!$A$5:$A$24,0)))</f>
        <v>Noah Parker</v>
      </c>
      <c r="O40" s="16" t="str">
        <f aca="false">IF(L40="","—",INDEX('Employee Lookup'!$C$5:$C$24,MATCH(L40,'Employee Lookup'!$A$5:$A$24,0)))</f>
        <v>Sales</v>
      </c>
      <c r="P40" s="12" t="s">
        <v>32</v>
      </c>
      <c r="Q40" s="11" t="s">
        <v>46</v>
      </c>
      <c r="R40" s="11" t="s">
        <v>34</v>
      </c>
      <c r="S40" s="13" t="n">
        <v>45717</v>
      </c>
      <c r="T40" s="17" t="str">
        <f aca="false">IF(S40&lt;Assumptions!$B$4,"Expired",IF(S40-Assumptions!$B$4&lt;=Assumptions!$B$6,"Expiring soon","Valid"))</f>
        <v>Expired</v>
      </c>
      <c r="U40" s="13" t="n">
        <v>46203</v>
      </c>
      <c r="V40" s="17" t="str">
        <f aca="false">IF(Assumptions!$B$4-U40&gt;Assumptions!$B$7,"Overdue","OK")</f>
        <v>OK</v>
      </c>
    </row>
    <row r="41" customFormat="false" ht="15" hidden="false" customHeight="false" outlineLevel="0" collapsed="false">
      <c r="A41" s="4" t="s">
        <v>144</v>
      </c>
      <c r="B41" s="5" t="s">
        <v>48</v>
      </c>
      <c r="C41" s="5" t="s">
        <v>49</v>
      </c>
      <c r="D41" s="5" t="s">
        <v>50</v>
      </c>
      <c r="E41" s="5" t="s">
        <v>145</v>
      </c>
      <c r="F41" s="6" t="n">
        <v>43617</v>
      </c>
      <c r="G41" s="5" t="s">
        <v>52</v>
      </c>
      <c r="H41" s="7" t="n">
        <v>650</v>
      </c>
      <c r="I41" s="4" t="n">
        <v>8</v>
      </c>
      <c r="J41" s="8" t="n">
        <f aca="false">ROUND(MIN(H41,H41/I41*(Assumptions!$B$4-F41)/365.25),2)</f>
        <v>596.83</v>
      </c>
      <c r="K41" s="8" t="n">
        <f aca="false">H41-J41</f>
        <v>53.17</v>
      </c>
      <c r="L41" s="4" t="s">
        <v>139</v>
      </c>
      <c r="M41" s="4" t="s">
        <v>31</v>
      </c>
      <c r="N41" s="9" t="str">
        <f aca="false">IF(L41="","— (unassigned)",INDEX('Employee Lookup'!$B$5:$B$24,MATCH(L41,'Employee Lookup'!$A$5:$A$24,0)))</f>
        <v>Noah Parker</v>
      </c>
      <c r="O41" s="9" t="str">
        <f aca="false">IF(L41="","—",INDEX('Employee Lookup'!$C$5:$C$24,MATCH(L41,'Employee Lookup'!$A$5:$A$24,0)))</f>
        <v>Sales</v>
      </c>
      <c r="P41" s="5" t="s">
        <v>32</v>
      </c>
      <c r="Q41" s="4" t="s">
        <v>33</v>
      </c>
      <c r="R41" s="4" t="s">
        <v>34</v>
      </c>
      <c r="S41" s="6" t="n">
        <v>45444</v>
      </c>
      <c r="T41" s="10" t="str">
        <f aca="false">IF(S41&lt;Assumptions!$B$4,"Expired",IF(S41-Assumptions!$B$4&lt;=Assumptions!$B$6,"Expiring soon","Valid"))</f>
        <v>Expired</v>
      </c>
      <c r="U41" s="6" t="n">
        <v>46203</v>
      </c>
      <c r="V41" s="10" t="str">
        <f aca="false">IF(Assumptions!$B$4-U41&gt;Assumptions!$B$7,"Overdue","OK")</f>
        <v>OK</v>
      </c>
    </row>
    <row r="42" customFormat="false" ht="15" hidden="false" customHeight="false" outlineLevel="0" collapsed="false">
      <c r="A42" s="11" t="s">
        <v>146</v>
      </c>
      <c r="B42" s="12" t="s">
        <v>25</v>
      </c>
      <c r="C42" s="12" t="s">
        <v>136</v>
      </c>
      <c r="D42" s="12" t="s">
        <v>136</v>
      </c>
      <c r="E42" s="12" t="s">
        <v>147</v>
      </c>
      <c r="F42" s="13" t="n">
        <v>44851</v>
      </c>
      <c r="G42" s="12" t="s">
        <v>138</v>
      </c>
      <c r="H42" s="14" t="n">
        <v>1400</v>
      </c>
      <c r="I42" s="11" t="n">
        <v>4</v>
      </c>
      <c r="J42" s="15" t="n">
        <f aca="false">ROUND(MIN(H42,H42/I42*(Assumptions!$B$4-F42)/365.25),2)</f>
        <v>1388.5</v>
      </c>
      <c r="K42" s="15" t="n">
        <f aca="false">H42-J42</f>
        <v>11.5</v>
      </c>
      <c r="L42" s="11" t="s">
        <v>148</v>
      </c>
      <c r="M42" s="11" t="s">
        <v>31</v>
      </c>
      <c r="N42" s="16" t="str">
        <f aca="false">IF(L42="","— (unassigned)",INDEX('Employee Lookup'!$B$5:$B$24,MATCH(L42,'Employee Lookup'!$A$5:$A$24,0)))</f>
        <v>Emma Collins</v>
      </c>
      <c r="O42" s="16" t="str">
        <f aca="false">IF(L42="","—",INDEX('Employee Lookup'!$C$5:$C$24,MATCH(L42,'Employee Lookup'!$A$5:$A$24,0)))</f>
        <v>Sales</v>
      </c>
      <c r="P42" s="12" t="s">
        <v>149</v>
      </c>
      <c r="Q42" s="11" t="s">
        <v>33</v>
      </c>
      <c r="R42" s="11" t="s">
        <v>34</v>
      </c>
      <c r="S42" s="13" t="n">
        <v>45947</v>
      </c>
      <c r="T42" s="17" t="str">
        <f aca="false">IF(S42&lt;Assumptions!$B$4,"Expired",IF(S42-Assumptions!$B$4&lt;=Assumptions!$B$6,"Expiring soon","Valid"))</f>
        <v>Expired</v>
      </c>
      <c r="U42" s="13" t="n">
        <v>46203</v>
      </c>
      <c r="V42" s="17" t="str">
        <f aca="false">IF(Assumptions!$B$4-U42&gt;Assumptions!$B$7,"Overdue","OK")</f>
        <v>OK</v>
      </c>
    </row>
    <row r="43" customFormat="false" ht="15" hidden="false" customHeight="false" outlineLevel="0" collapsed="false">
      <c r="A43" s="4" t="s">
        <v>150</v>
      </c>
      <c r="B43" s="5" t="s">
        <v>41</v>
      </c>
      <c r="C43" s="5" t="s">
        <v>42</v>
      </c>
      <c r="D43" s="5" t="s">
        <v>43</v>
      </c>
      <c r="E43" s="5" t="s">
        <v>151</v>
      </c>
      <c r="F43" s="6" t="n">
        <v>45352</v>
      </c>
      <c r="G43" s="5" t="s">
        <v>45</v>
      </c>
      <c r="H43" s="7" t="n">
        <v>999</v>
      </c>
      <c r="I43" s="4" t="n">
        <v>3</v>
      </c>
      <c r="J43" s="8" t="n">
        <f aca="false">ROUND(MIN(H43,H43/I43*(Assumptions!$B$4-F43)/365.25),2)</f>
        <v>864.3</v>
      </c>
      <c r="K43" s="8" t="n">
        <f aca="false">H43-J43</f>
        <v>134.7</v>
      </c>
      <c r="L43" s="4" t="s">
        <v>148</v>
      </c>
      <c r="M43" s="4" t="s">
        <v>31</v>
      </c>
      <c r="N43" s="9" t="str">
        <f aca="false">IF(L43="","— (unassigned)",INDEX('Employee Lookup'!$B$5:$B$24,MATCH(L43,'Employee Lookup'!$A$5:$A$24,0)))</f>
        <v>Emma Collins</v>
      </c>
      <c r="O43" s="9" t="str">
        <f aca="false">IF(L43="","—",INDEX('Employee Lookup'!$C$5:$C$24,MATCH(L43,'Employee Lookup'!$A$5:$A$24,0)))</f>
        <v>Sales</v>
      </c>
      <c r="P43" s="5" t="s">
        <v>149</v>
      </c>
      <c r="Q43" s="4" t="s">
        <v>46</v>
      </c>
      <c r="R43" s="4" t="s">
        <v>34</v>
      </c>
      <c r="S43" s="6" t="n">
        <v>45717</v>
      </c>
      <c r="T43" s="10" t="str">
        <f aca="false">IF(S43&lt;Assumptions!$B$4,"Expired",IF(S43-Assumptions!$B$4&lt;=Assumptions!$B$6,"Expiring soon","Valid"))</f>
        <v>Expired</v>
      </c>
      <c r="U43" s="6" t="n">
        <v>46203</v>
      </c>
      <c r="V43" s="10" t="str">
        <f aca="false">IF(Assumptions!$B$4-U43&gt;Assumptions!$B$7,"Overdue","OK")</f>
        <v>OK</v>
      </c>
    </row>
    <row r="44" customFormat="false" ht="15" hidden="false" customHeight="false" outlineLevel="0" collapsed="false">
      <c r="A44" s="11" t="s">
        <v>152</v>
      </c>
      <c r="B44" s="12" t="s">
        <v>48</v>
      </c>
      <c r="C44" s="12" t="s">
        <v>49</v>
      </c>
      <c r="D44" s="12" t="s">
        <v>50</v>
      </c>
      <c r="E44" s="12" t="s">
        <v>153</v>
      </c>
      <c r="F44" s="13" t="n">
        <v>43759</v>
      </c>
      <c r="G44" s="12" t="s">
        <v>52</v>
      </c>
      <c r="H44" s="14" t="n">
        <v>650</v>
      </c>
      <c r="I44" s="11" t="n">
        <v>8</v>
      </c>
      <c r="J44" s="15" t="n">
        <f aca="false">ROUND(MIN(H44,H44/I44*(Assumptions!$B$4-F44)/365.25),2)</f>
        <v>565.25</v>
      </c>
      <c r="K44" s="15" t="n">
        <f aca="false">H44-J44</f>
        <v>84.75</v>
      </c>
      <c r="L44" s="11" t="s">
        <v>148</v>
      </c>
      <c r="M44" s="11" t="s">
        <v>31</v>
      </c>
      <c r="N44" s="16" t="str">
        <f aca="false">IF(L44="","— (unassigned)",INDEX('Employee Lookup'!$B$5:$B$24,MATCH(L44,'Employee Lookup'!$A$5:$A$24,0)))</f>
        <v>Emma Collins</v>
      </c>
      <c r="O44" s="16" t="str">
        <f aca="false">IF(L44="","—",INDEX('Employee Lookup'!$C$5:$C$24,MATCH(L44,'Employee Lookup'!$A$5:$A$24,0)))</f>
        <v>Sales</v>
      </c>
      <c r="P44" s="12" t="s">
        <v>149</v>
      </c>
      <c r="Q44" s="11" t="s">
        <v>33</v>
      </c>
      <c r="R44" s="11" t="s">
        <v>34</v>
      </c>
      <c r="S44" s="13" t="n">
        <v>45586</v>
      </c>
      <c r="T44" s="17" t="str">
        <f aca="false">IF(S44&lt;Assumptions!$B$4,"Expired",IF(S44-Assumptions!$B$4&lt;=Assumptions!$B$6,"Expiring soon","Valid"))</f>
        <v>Expired</v>
      </c>
      <c r="U44" s="13" t="n">
        <v>46203</v>
      </c>
      <c r="V44" s="17" t="str">
        <f aca="false">IF(Assumptions!$B$4-U44&gt;Assumptions!$B$7,"Overdue","OK")</f>
        <v>OK</v>
      </c>
    </row>
    <row r="45" customFormat="false" ht="15" hidden="false" customHeight="false" outlineLevel="0" collapsed="false">
      <c r="A45" s="4" t="s">
        <v>154</v>
      </c>
      <c r="B45" s="5" t="s">
        <v>25</v>
      </c>
      <c r="C45" s="5" t="s">
        <v>136</v>
      </c>
      <c r="D45" s="5" t="s">
        <v>136</v>
      </c>
      <c r="E45" s="5" t="s">
        <v>155</v>
      </c>
      <c r="F45" s="6" t="n">
        <v>45003</v>
      </c>
      <c r="G45" s="5" t="s">
        <v>138</v>
      </c>
      <c r="H45" s="7" t="n">
        <v>1400</v>
      </c>
      <c r="I45" s="4" t="n">
        <v>4</v>
      </c>
      <c r="J45" s="8" t="n">
        <f aca="false">ROUND(MIN(H45,H45/I45*(Assumptions!$B$4-F45)/365.25),2)</f>
        <v>1242.85</v>
      </c>
      <c r="K45" s="8" t="n">
        <f aca="false">H45-J45</f>
        <v>157.15</v>
      </c>
      <c r="L45" s="4" t="s">
        <v>156</v>
      </c>
      <c r="M45" s="4" t="s">
        <v>31</v>
      </c>
      <c r="N45" s="9" t="str">
        <f aca="false">IF(L45="","— (unassigned)",INDEX('Employee Lookup'!$B$5:$B$24,MATCH(L45,'Employee Lookup'!$A$5:$A$24,0)))</f>
        <v>James Ward</v>
      </c>
      <c r="O45" s="9" t="str">
        <f aca="false">IF(L45="","—",INDEX('Employee Lookup'!$C$5:$C$24,MATCH(L45,'Employee Lookup'!$A$5:$A$24,0)))</f>
        <v>Sales</v>
      </c>
      <c r="P45" s="5" t="s">
        <v>149</v>
      </c>
      <c r="Q45" s="4" t="s">
        <v>33</v>
      </c>
      <c r="R45" s="4" t="s">
        <v>34</v>
      </c>
      <c r="S45" s="6" t="n">
        <v>46099</v>
      </c>
      <c r="T45" s="10" t="str">
        <f aca="false">IF(S45&lt;Assumptions!$B$4,"Expired",IF(S45-Assumptions!$B$4&lt;=Assumptions!$B$6,"Expiring soon","Valid"))</f>
        <v>Expired</v>
      </c>
      <c r="U45" s="6" t="n">
        <v>46203</v>
      </c>
      <c r="V45" s="10" t="str">
        <f aca="false">IF(Assumptions!$B$4-U45&gt;Assumptions!$B$7,"Overdue","OK")</f>
        <v>OK</v>
      </c>
    </row>
    <row r="46" customFormat="false" ht="15" hidden="false" customHeight="false" outlineLevel="0" collapsed="false">
      <c r="A46" s="11" t="s">
        <v>157</v>
      </c>
      <c r="B46" s="12" t="s">
        <v>41</v>
      </c>
      <c r="C46" s="12" t="s">
        <v>42</v>
      </c>
      <c r="D46" s="12" t="s">
        <v>43</v>
      </c>
      <c r="E46" s="12" t="s">
        <v>158</v>
      </c>
      <c r="F46" s="13" t="n">
        <v>45352</v>
      </c>
      <c r="G46" s="12" t="s">
        <v>45</v>
      </c>
      <c r="H46" s="14" t="n">
        <v>999</v>
      </c>
      <c r="I46" s="11" t="n">
        <v>3</v>
      </c>
      <c r="J46" s="15" t="n">
        <f aca="false">ROUND(MIN(H46,H46/I46*(Assumptions!$B$4-F46)/365.25),2)</f>
        <v>864.3</v>
      </c>
      <c r="K46" s="15" t="n">
        <f aca="false">H46-J46</f>
        <v>134.7</v>
      </c>
      <c r="L46" s="11" t="s">
        <v>156</v>
      </c>
      <c r="M46" s="11" t="s">
        <v>31</v>
      </c>
      <c r="N46" s="16" t="str">
        <f aca="false">IF(L46="","— (unassigned)",INDEX('Employee Lookup'!$B$5:$B$24,MATCH(L46,'Employee Lookup'!$A$5:$A$24,0)))</f>
        <v>James Ward</v>
      </c>
      <c r="O46" s="16" t="str">
        <f aca="false">IF(L46="","—",INDEX('Employee Lookup'!$C$5:$C$24,MATCH(L46,'Employee Lookup'!$A$5:$A$24,0)))</f>
        <v>Sales</v>
      </c>
      <c r="P46" s="12" t="s">
        <v>149</v>
      </c>
      <c r="Q46" s="11" t="s">
        <v>46</v>
      </c>
      <c r="R46" s="11" t="s">
        <v>34</v>
      </c>
      <c r="S46" s="13" t="n">
        <v>45717</v>
      </c>
      <c r="T46" s="17" t="str">
        <f aca="false">IF(S46&lt;Assumptions!$B$4,"Expired",IF(S46-Assumptions!$B$4&lt;=Assumptions!$B$6,"Expiring soon","Valid"))</f>
        <v>Expired</v>
      </c>
      <c r="U46" s="13" t="n">
        <v>46203</v>
      </c>
      <c r="V46" s="17" t="str">
        <f aca="false">IF(Assumptions!$B$4-U46&gt;Assumptions!$B$7,"Overdue","OK")</f>
        <v>OK</v>
      </c>
    </row>
    <row r="47" customFormat="false" ht="15" hidden="false" customHeight="false" outlineLevel="0" collapsed="false">
      <c r="A47" s="4" t="s">
        <v>159</v>
      </c>
      <c r="B47" s="5" t="s">
        <v>48</v>
      </c>
      <c r="C47" s="5" t="s">
        <v>49</v>
      </c>
      <c r="D47" s="5" t="s">
        <v>50</v>
      </c>
      <c r="E47" s="5" t="s">
        <v>160</v>
      </c>
      <c r="F47" s="6" t="n">
        <v>44347</v>
      </c>
      <c r="G47" s="5" t="s">
        <v>52</v>
      </c>
      <c r="H47" s="7" t="n">
        <v>650</v>
      </c>
      <c r="I47" s="4" t="n">
        <v>8</v>
      </c>
      <c r="J47" s="8" t="n">
        <f aca="false">ROUND(MIN(H47,H47/I47*(Assumptions!$B$4-F47)/365.25),2)</f>
        <v>434.45</v>
      </c>
      <c r="K47" s="8" t="n">
        <f aca="false">H47-J47</f>
        <v>215.55</v>
      </c>
      <c r="L47" s="4" t="s">
        <v>156</v>
      </c>
      <c r="M47" s="4" t="s">
        <v>31</v>
      </c>
      <c r="N47" s="9" t="str">
        <f aca="false">IF(L47="","— (unassigned)",INDEX('Employee Lookup'!$B$5:$B$24,MATCH(L47,'Employee Lookup'!$A$5:$A$24,0)))</f>
        <v>James Ward</v>
      </c>
      <c r="O47" s="9" t="str">
        <f aca="false">IF(L47="","—",INDEX('Employee Lookup'!$C$5:$C$24,MATCH(L47,'Employee Lookup'!$A$5:$A$24,0)))</f>
        <v>Sales</v>
      </c>
      <c r="P47" s="5" t="s">
        <v>149</v>
      </c>
      <c r="Q47" s="4" t="s">
        <v>46</v>
      </c>
      <c r="R47" s="4" t="s">
        <v>34</v>
      </c>
      <c r="S47" s="6" t="n">
        <v>46173</v>
      </c>
      <c r="T47" s="10" t="str">
        <f aca="false">IF(S47&lt;Assumptions!$B$4,"Expired",IF(S47-Assumptions!$B$4&lt;=Assumptions!$B$6,"Expiring soon","Valid"))</f>
        <v>Expired</v>
      </c>
      <c r="U47" s="6" t="n">
        <v>46203</v>
      </c>
      <c r="V47" s="10" t="str">
        <f aca="false">IF(Assumptions!$B$4-U47&gt;Assumptions!$B$7,"Overdue","OK")</f>
        <v>OK</v>
      </c>
    </row>
    <row r="48" customFormat="false" ht="15" hidden="false" customHeight="false" outlineLevel="0" collapsed="false">
      <c r="A48" s="11" t="s">
        <v>161</v>
      </c>
      <c r="B48" s="12" t="s">
        <v>25</v>
      </c>
      <c r="C48" s="12" t="s">
        <v>54</v>
      </c>
      <c r="D48" s="12" t="s">
        <v>54</v>
      </c>
      <c r="E48" s="12" t="s">
        <v>162</v>
      </c>
      <c r="F48" s="13" t="n">
        <v>45523</v>
      </c>
      <c r="G48" s="12" t="s">
        <v>56</v>
      </c>
      <c r="H48" s="14" t="n">
        <v>1350</v>
      </c>
      <c r="I48" s="11" t="n">
        <v>4</v>
      </c>
      <c r="J48" s="15" t="n">
        <f aca="false">ROUND(MIN(H48,H48/I48*(Assumptions!$B$4-F48)/365.25),2)</f>
        <v>717.97</v>
      </c>
      <c r="K48" s="15" t="n">
        <f aca="false">H48-J48</f>
        <v>632.03</v>
      </c>
      <c r="L48" s="11" t="s">
        <v>163</v>
      </c>
      <c r="M48" s="11" t="s">
        <v>31</v>
      </c>
      <c r="N48" s="16" t="str">
        <f aca="false">IF(L48="","— (unassigned)",INDEX('Employee Lookup'!$B$5:$B$24,MATCH(L48,'Employee Lookup'!$A$5:$A$24,0)))</f>
        <v>Mia Turner</v>
      </c>
      <c r="O48" s="16" t="str">
        <f aca="false">IF(L48="","—",INDEX('Employee Lookup'!$C$5:$C$24,MATCH(L48,'Employee Lookup'!$A$5:$A$24,0)))</f>
        <v>Marketing</v>
      </c>
      <c r="P48" s="12" t="s">
        <v>32</v>
      </c>
      <c r="Q48" s="11" t="s">
        <v>46</v>
      </c>
      <c r="R48" s="11" t="s">
        <v>34</v>
      </c>
      <c r="S48" s="13" t="n">
        <v>46618</v>
      </c>
      <c r="T48" s="17" t="str">
        <f aca="false">IF(S48&lt;Assumptions!$B$4,"Expired",IF(S48-Assumptions!$B$4&lt;=Assumptions!$B$6,"Expiring soon","Valid"))</f>
        <v>Valid</v>
      </c>
      <c r="U48" s="13" t="n">
        <v>46203</v>
      </c>
      <c r="V48" s="17" t="str">
        <f aca="false">IF(Assumptions!$B$4-U48&gt;Assumptions!$B$7,"Overdue","OK")</f>
        <v>OK</v>
      </c>
    </row>
    <row r="49" customFormat="false" ht="15" hidden="false" customHeight="false" outlineLevel="0" collapsed="false">
      <c r="A49" s="4" t="s">
        <v>164</v>
      </c>
      <c r="B49" s="5" t="s">
        <v>36</v>
      </c>
      <c r="C49" s="5" t="s">
        <v>37</v>
      </c>
      <c r="D49" s="5" t="s">
        <v>38</v>
      </c>
      <c r="E49" s="5" t="s">
        <v>165</v>
      </c>
      <c r="F49" s="6" t="n">
        <v>45523</v>
      </c>
      <c r="G49" s="5" t="s">
        <v>29</v>
      </c>
      <c r="H49" s="7" t="n">
        <v>320</v>
      </c>
      <c r="I49" s="4" t="n">
        <v>5</v>
      </c>
      <c r="J49" s="8" t="n">
        <f aca="false">ROUND(MIN(H49,H49/I49*(Assumptions!$B$4-F49)/365.25),2)</f>
        <v>136.15</v>
      </c>
      <c r="K49" s="8" t="n">
        <f aca="false">H49-J49</f>
        <v>183.85</v>
      </c>
      <c r="L49" s="4" t="s">
        <v>163</v>
      </c>
      <c r="M49" s="4" t="s">
        <v>31</v>
      </c>
      <c r="N49" s="9" t="str">
        <f aca="false">IF(L49="","— (unassigned)",INDEX('Employee Lookup'!$B$5:$B$24,MATCH(L49,'Employee Lookup'!$A$5:$A$24,0)))</f>
        <v>Mia Turner</v>
      </c>
      <c r="O49" s="9" t="str">
        <f aca="false">IF(L49="","—",INDEX('Employee Lookup'!$C$5:$C$24,MATCH(L49,'Employee Lookup'!$A$5:$A$24,0)))</f>
        <v>Marketing</v>
      </c>
      <c r="P49" s="5" t="s">
        <v>32</v>
      </c>
      <c r="Q49" s="4" t="s">
        <v>46</v>
      </c>
      <c r="R49" s="4" t="s">
        <v>34</v>
      </c>
      <c r="S49" s="6" t="n">
        <v>46618</v>
      </c>
      <c r="T49" s="10" t="str">
        <f aca="false">IF(S49&lt;Assumptions!$B$4,"Expired",IF(S49-Assumptions!$B$4&lt;=Assumptions!$B$6,"Expiring soon","Valid"))</f>
        <v>Valid</v>
      </c>
      <c r="U49" s="6" t="n">
        <v>46006</v>
      </c>
      <c r="V49" s="10" t="str">
        <f aca="false">IF(Assumptions!$B$4-U49&gt;Assumptions!$B$7,"Overdue","OK")</f>
        <v>OK</v>
      </c>
    </row>
    <row r="50" customFormat="false" ht="15" hidden="false" customHeight="false" outlineLevel="0" collapsed="false">
      <c r="A50" s="11" t="s">
        <v>166</v>
      </c>
      <c r="B50" s="12" t="s">
        <v>48</v>
      </c>
      <c r="C50" s="12" t="s">
        <v>49</v>
      </c>
      <c r="D50" s="12" t="s">
        <v>50</v>
      </c>
      <c r="E50" s="12" t="s">
        <v>167</v>
      </c>
      <c r="F50" s="13" t="n">
        <v>43617</v>
      </c>
      <c r="G50" s="12" t="s">
        <v>52</v>
      </c>
      <c r="H50" s="14" t="n">
        <v>650</v>
      </c>
      <c r="I50" s="11" t="n">
        <v>8</v>
      </c>
      <c r="J50" s="15" t="n">
        <f aca="false">ROUND(MIN(H50,H50/I50*(Assumptions!$B$4-F50)/365.25),2)</f>
        <v>596.83</v>
      </c>
      <c r="K50" s="15" t="n">
        <f aca="false">H50-J50</f>
        <v>53.17</v>
      </c>
      <c r="L50" s="11" t="s">
        <v>163</v>
      </c>
      <c r="M50" s="11" t="s">
        <v>31</v>
      </c>
      <c r="N50" s="16" t="str">
        <f aca="false">IF(L50="","— (unassigned)",INDEX('Employee Lookup'!$B$5:$B$24,MATCH(L50,'Employee Lookup'!$A$5:$A$24,0)))</f>
        <v>Mia Turner</v>
      </c>
      <c r="O50" s="16" t="str">
        <f aca="false">IF(L50="","—",INDEX('Employee Lookup'!$C$5:$C$24,MATCH(L50,'Employee Lookup'!$A$5:$A$24,0)))</f>
        <v>Marketing</v>
      </c>
      <c r="P50" s="12" t="s">
        <v>32</v>
      </c>
      <c r="Q50" s="11" t="s">
        <v>33</v>
      </c>
      <c r="R50" s="11" t="s">
        <v>34</v>
      </c>
      <c r="S50" s="13" t="n">
        <v>45444</v>
      </c>
      <c r="T50" s="17" t="str">
        <f aca="false">IF(S50&lt;Assumptions!$B$4,"Expired",IF(S50-Assumptions!$B$4&lt;=Assumptions!$B$6,"Expiring soon","Valid"))</f>
        <v>Expired</v>
      </c>
      <c r="U50" s="13" t="n">
        <v>46203</v>
      </c>
      <c r="V50" s="17" t="str">
        <f aca="false">IF(Assumptions!$B$4-U50&gt;Assumptions!$B$7,"Overdue","OK")</f>
        <v>OK</v>
      </c>
    </row>
    <row r="51" customFormat="false" ht="15" hidden="false" customHeight="false" outlineLevel="0" collapsed="false">
      <c r="A51" s="4" t="s">
        <v>168</v>
      </c>
      <c r="B51" s="5" t="s">
        <v>25</v>
      </c>
      <c r="C51" s="5" t="s">
        <v>54</v>
      </c>
      <c r="D51" s="5" t="s">
        <v>54</v>
      </c>
      <c r="E51" s="5" t="s">
        <v>169</v>
      </c>
      <c r="F51" s="6" t="n">
        <v>44683</v>
      </c>
      <c r="G51" s="5" t="s">
        <v>56</v>
      </c>
      <c r="H51" s="7" t="n">
        <v>1350</v>
      </c>
      <c r="I51" s="4" t="n">
        <v>4</v>
      </c>
      <c r="J51" s="8" t="n">
        <f aca="false">ROUND(MIN(H51,H51/I51*(Assumptions!$B$4-F51)/365.25),2)</f>
        <v>1350</v>
      </c>
      <c r="K51" s="8" t="n">
        <f aca="false">H51-J51</f>
        <v>0</v>
      </c>
      <c r="L51" s="4" t="s">
        <v>170</v>
      </c>
      <c r="M51" s="4" t="s">
        <v>31</v>
      </c>
      <c r="N51" s="9" t="str">
        <f aca="false">IF(L51="","— (unassigned)",INDEX('Employee Lookup'!$B$5:$B$24,MATCH(L51,'Employee Lookup'!$A$5:$A$24,0)))</f>
        <v>Benjamin Hayes</v>
      </c>
      <c r="O51" s="9" t="str">
        <f aca="false">IF(L51="","—",INDEX('Employee Lookup'!$C$5:$C$24,MATCH(L51,'Employee Lookup'!$A$5:$A$24,0)))</f>
        <v>Marketing</v>
      </c>
      <c r="P51" s="5" t="s">
        <v>111</v>
      </c>
      <c r="Q51" s="4" t="s">
        <v>33</v>
      </c>
      <c r="R51" s="4" t="s">
        <v>34</v>
      </c>
      <c r="S51" s="6" t="n">
        <v>45779</v>
      </c>
      <c r="T51" s="10" t="str">
        <f aca="false">IF(S51&lt;Assumptions!$B$4,"Expired",IF(S51-Assumptions!$B$4&lt;=Assumptions!$B$6,"Expiring soon","Valid"))</f>
        <v>Expired</v>
      </c>
      <c r="U51" s="6" t="n">
        <v>46203</v>
      </c>
      <c r="V51" s="10" t="str">
        <f aca="false">IF(Assumptions!$B$4-U51&gt;Assumptions!$B$7,"Overdue","OK")</f>
        <v>OK</v>
      </c>
    </row>
    <row r="52" customFormat="false" ht="15" hidden="false" customHeight="false" outlineLevel="0" collapsed="false">
      <c r="A52" s="11" t="s">
        <v>171</v>
      </c>
      <c r="B52" s="12" t="s">
        <v>36</v>
      </c>
      <c r="C52" s="12" t="s">
        <v>37</v>
      </c>
      <c r="D52" s="12" t="s">
        <v>38</v>
      </c>
      <c r="E52" s="12" t="s">
        <v>172</v>
      </c>
      <c r="F52" s="13" t="n">
        <v>44683</v>
      </c>
      <c r="G52" s="12" t="s">
        <v>29</v>
      </c>
      <c r="H52" s="14" t="n">
        <v>320</v>
      </c>
      <c r="I52" s="11" t="n">
        <v>5</v>
      </c>
      <c r="J52" s="15" t="n">
        <f aca="false">ROUND(MIN(H52,H52/I52*(Assumptions!$B$4-F52)/365.25),2)</f>
        <v>283.33</v>
      </c>
      <c r="K52" s="15" t="n">
        <f aca="false">H52-J52</f>
        <v>36.67</v>
      </c>
      <c r="L52" s="11" t="s">
        <v>170</v>
      </c>
      <c r="M52" s="11" t="s">
        <v>31</v>
      </c>
      <c r="N52" s="16" t="str">
        <f aca="false">IF(L52="","— (unassigned)",INDEX('Employee Lookup'!$B$5:$B$24,MATCH(L52,'Employee Lookup'!$A$5:$A$24,0)))</f>
        <v>Benjamin Hayes</v>
      </c>
      <c r="O52" s="16" t="str">
        <f aca="false">IF(L52="","—",INDEX('Employee Lookup'!$C$5:$C$24,MATCH(L52,'Employee Lookup'!$A$5:$A$24,0)))</f>
        <v>Marketing</v>
      </c>
      <c r="P52" s="12" t="s">
        <v>111</v>
      </c>
      <c r="Q52" s="11" t="s">
        <v>33</v>
      </c>
      <c r="R52" s="11" t="s">
        <v>34</v>
      </c>
      <c r="S52" s="13" t="n">
        <v>45779</v>
      </c>
      <c r="T52" s="17" t="str">
        <f aca="false">IF(S52&lt;Assumptions!$B$4,"Expired",IF(S52-Assumptions!$B$4&lt;=Assumptions!$B$6,"Expiring soon","Valid"))</f>
        <v>Expired</v>
      </c>
      <c r="U52" s="13" t="n">
        <v>46203</v>
      </c>
      <c r="V52" s="17" t="str">
        <f aca="false">IF(Assumptions!$B$4-U52&gt;Assumptions!$B$7,"Overdue","OK")</f>
        <v>OK</v>
      </c>
    </row>
    <row r="53" customFormat="false" ht="15" hidden="false" customHeight="false" outlineLevel="0" collapsed="false">
      <c r="A53" s="4" t="s">
        <v>173</v>
      </c>
      <c r="B53" s="5" t="s">
        <v>117</v>
      </c>
      <c r="C53" s="5" t="s">
        <v>118</v>
      </c>
      <c r="D53" s="5" t="s">
        <v>119</v>
      </c>
      <c r="E53" s="5" t="s">
        <v>174</v>
      </c>
      <c r="F53" s="6" t="n">
        <v>44683</v>
      </c>
      <c r="G53" s="5" t="s">
        <v>121</v>
      </c>
      <c r="H53" s="7" t="n">
        <v>180</v>
      </c>
      <c r="I53" s="4" t="n">
        <v>3</v>
      </c>
      <c r="J53" s="8" t="n">
        <f aca="false">ROUND(MIN(H53,H53/I53*(Assumptions!$B$4-F53)/365.25),2)</f>
        <v>180</v>
      </c>
      <c r="K53" s="8" t="n">
        <f aca="false">H53-J53</f>
        <v>0</v>
      </c>
      <c r="L53" s="4" t="s">
        <v>170</v>
      </c>
      <c r="M53" s="4" t="s">
        <v>31</v>
      </c>
      <c r="N53" s="9" t="str">
        <f aca="false">IF(L53="","— (unassigned)",INDEX('Employee Lookup'!$B$5:$B$24,MATCH(L53,'Employee Lookup'!$A$5:$A$24,0)))</f>
        <v>Benjamin Hayes</v>
      </c>
      <c r="O53" s="9" t="str">
        <f aca="false">IF(L53="","—",INDEX('Employee Lookup'!$C$5:$C$24,MATCH(L53,'Employee Lookup'!$A$5:$A$24,0)))</f>
        <v>Marketing</v>
      </c>
      <c r="P53" s="5" t="s">
        <v>111</v>
      </c>
      <c r="Q53" s="4" t="s">
        <v>46</v>
      </c>
      <c r="R53" s="4" t="s">
        <v>34</v>
      </c>
      <c r="S53" s="6" t="n">
        <v>45414</v>
      </c>
      <c r="T53" s="10" t="str">
        <f aca="false">IF(S53&lt;Assumptions!$B$4,"Expired",IF(S53-Assumptions!$B$4&lt;=Assumptions!$B$6,"Expiring soon","Valid"))</f>
        <v>Expired</v>
      </c>
      <c r="U53" s="6" t="n">
        <v>46203</v>
      </c>
      <c r="V53" s="10" t="str">
        <f aca="false">IF(Assumptions!$B$4-U53&gt;Assumptions!$B$7,"Overdue","OK")</f>
        <v>OK</v>
      </c>
    </row>
    <row r="54" customFormat="false" ht="15" hidden="false" customHeight="false" outlineLevel="0" collapsed="false">
      <c r="A54" s="11" t="s">
        <v>175</v>
      </c>
      <c r="B54" s="12" t="s">
        <v>48</v>
      </c>
      <c r="C54" s="12" t="s">
        <v>123</v>
      </c>
      <c r="D54" s="12" t="s">
        <v>124</v>
      </c>
      <c r="E54" s="12" t="s">
        <v>176</v>
      </c>
      <c r="F54" s="13" t="n">
        <v>44683</v>
      </c>
      <c r="G54" s="12" t="s">
        <v>52</v>
      </c>
      <c r="H54" s="14" t="n">
        <v>300</v>
      </c>
      <c r="I54" s="11" t="n">
        <v>8</v>
      </c>
      <c r="J54" s="15" t="n">
        <f aca="false">ROUND(MIN(H54,H54/I54*(Assumptions!$B$4-F54)/365.25),2)</f>
        <v>166.02</v>
      </c>
      <c r="K54" s="15" t="n">
        <f aca="false">H54-J54</f>
        <v>133.98</v>
      </c>
      <c r="L54" s="11" t="s">
        <v>170</v>
      </c>
      <c r="M54" s="11" t="s">
        <v>31</v>
      </c>
      <c r="N54" s="16" t="str">
        <f aca="false">IF(L54="","— (unassigned)",INDEX('Employee Lookup'!$B$5:$B$24,MATCH(L54,'Employee Lookup'!$A$5:$A$24,0)))</f>
        <v>Benjamin Hayes</v>
      </c>
      <c r="O54" s="16" t="str">
        <f aca="false">IF(L54="","—",INDEX('Employee Lookup'!$C$5:$C$24,MATCH(L54,'Employee Lookup'!$A$5:$A$24,0)))</f>
        <v>Marketing</v>
      </c>
      <c r="P54" s="12" t="s">
        <v>111</v>
      </c>
      <c r="Q54" s="11" t="s">
        <v>46</v>
      </c>
      <c r="R54" s="11" t="s">
        <v>34</v>
      </c>
      <c r="S54" s="13" t="n">
        <v>46509</v>
      </c>
      <c r="T54" s="17" t="str">
        <f aca="false">IF(S54&lt;Assumptions!$B$4,"Expired",IF(S54-Assumptions!$B$4&lt;=Assumptions!$B$6,"Expiring soon","Valid"))</f>
        <v>Valid</v>
      </c>
      <c r="U54" s="13" t="n">
        <v>46203</v>
      </c>
      <c r="V54" s="17" t="str">
        <f aca="false">IF(Assumptions!$B$4-U54&gt;Assumptions!$B$7,"Overdue","OK")</f>
        <v>OK</v>
      </c>
    </row>
    <row r="55" customFormat="false" ht="15" hidden="false" customHeight="false" outlineLevel="0" collapsed="false">
      <c r="A55" s="4" t="s">
        <v>177</v>
      </c>
      <c r="B55" s="5" t="s">
        <v>25</v>
      </c>
      <c r="C55" s="5" t="s">
        <v>54</v>
      </c>
      <c r="D55" s="5" t="s">
        <v>54</v>
      </c>
      <c r="E55" s="5" t="s">
        <v>178</v>
      </c>
      <c r="F55" s="6" t="n">
        <v>45098</v>
      </c>
      <c r="G55" s="5" t="s">
        <v>56</v>
      </c>
      <c r="H55" s="7" t="n">
        <v>1350</v>
      </c>
      <c r="I55" s="4" t="n">
        <v>4</v>
      </c>
      <c r="J55" s="8" t="n">
        <f aca="false">ROUND(MIN(H55,H55/I55*(Assumptions!$B$4-F55)/365.25),2)</f>
        <v>1110.68</v>
      </c>
      <c r="K55" s="8" t="n">
        <f aca="false">H55-J55</f>
        <v>239.32</v>
      </c>
      <c r="L55" s="4" t="s">
        <v>179</v>
      </c>
      <c r="M55" s="4" t="s">
        <v>31</v>
      </c>
      <c r="N55" s="9" t="str">
        <f aca="false">IF(L55="","— (unassigned)",INDEX('Employee Lookup'!$B$5:$B$24,MATCH(L55,'Employee Lookup'!$A$5:$A$24,0)))</f>
        <v>Charlotte Price</v>
      </c>
      <c r="O55" s="9" t="str">
        <f aca="false">IF(L55="","—",INDEX('Employee Lookup'!$C$5:$C$24,MATCH(L55,'Employee Lookup'!$A$5:$A$24,0)))</f>
        <v>Finance</v>
      </c>
      <c r="P55" s="5" t="s">
        <v>32</v>
      </c>
      <c r="Q55" s="4" t="s">
        <v>33</v>
      </c>
      <c r="R55" s="4" t="s">
        <v>34</v>
      </c>
      <c r="S55" s="6" t="n">
        <v>46194</v>
      </c>
      <c r="T55" s="10" t="str">
        <f aca="false">IF(S55&lt;Assumptions!$B$4,"Expired",IF(S55-Assumptions!$B$4&lt;=Assumptions!$B$6,"Expiring soon","Valid"))</f>
        <v>Expired</v>
      </c>
      <c r="U55" s="6" t="n">
        <v>46203</v>
      </c>
      <c r="V55" s="10" t="str">
        <f aca="false">IF(Assumptions!$B$4-U55&gt;Assumptions!$B$7,"Overdue","OK")</f>
        <v>OK</v>
      </c>
    </row>
    <row r="56" customFormat="false" ht="15" hidden="false" customHeight="false" outlineLevel="0" collapsed="false">
      <c r="A56" s="11" t="s">
        <v>180</v>
      </c>
      <c r="B56" s="12" t="s">
        <v>36</v>
      </c>
      <c r="C56" s="12" t="s">
        <v>37</v>
      </c>
      <c r="D56" s="12" t="s">
        <v>38</v>
      </c>
      <c r="E56" s="12" t="s">
        <v>181</v>
      </c>
      <c r="F56" s="13" t="n">
        <v>45098</v>
      </c>
      <c r="G56" s="12" t="s">
        <v>29</v>
      </c>
      <c r="H56" s="14" t="n">
        <v>320</v>
      </c>
      <c r="I56" s="11" t="n">
        <v>5</v>
      </c>
      <c r="J56" s="15" t="n">
        <f aca="false">ROUND(MIN(H56,H56/I56*(Assumptions!$B$4-F56)/365.25),2)</f>
        <v>210.62</v>
      </c>
      <c r="K56" s="15" t="n">
        <f aca="false">H56-J56</f>
        <v>109.38</v>
      </c>
      <c r="L56" s="11" t="s">
        <v>179</v>
      </c>
      <c r="M56" s="11" t="s">
        <v>31</v>
      </c>
      <c r="N56" s="16" t="str">
        <f aca="false">IF(L56="","— (unassigned)",INDEX('Employee Lookup'!$B$5:$B$24,MATCH(L56,'Employee Lookup'!$A$5:$A$24,0)))</f>
        <v>Charlotte Price</v>
      </c>
      <c r="O56" s="16" t="str">
        <f aca="false">IF(L56="","—",INDEX('Employee Lookup'!$C$5:$C$24,MATCH(L56,'Employee Lookup'!$A$5:$A$24,0)))</f>
        <v>Finance</v>
      </c>
      <c r="P56" s="12" t="s">
        <v>32</v>
      </c>
      <c r="Q56" s="11" t="s">
        <v>33</v>
      </c>
      <c r="R56" s="11" t="s">
        <v>34</v>
      </c>
      <c r="S56" s="13" t="n">
        <v>46194</v>
      </c>
      <c r="T56" s="17" t="str">
        <f aca="false">IF(S56&lt;Assumptions!$B$4,"Expired",IF(S56-Assumptions!$B$4&lt;=Assumptions!$B$6,"Expiring soon","Valid"))</f>
        <v>Expired</v>
      </c>
      <c r="U56" s="13" t="n">
        <v>46203</v>
      </c>
      <c r="V56" s="17" t="str">
        <f aca="false">IF(Assumptions!$B$4-U56&gt;Assumptions!$B$7,"Overdue","OK")</f>
        <v>OK</v>
      </c>
    </row>
    <row r="57" customFormat="false" ht="15" hidden="false" customHeight="false" outlineLevel="0" collapsed="false">
      <c r="A57" s="4" t="s">
        <v>182</v>
      </c>
      <c r="B57" s="5" t="s">
        <v>48</v>
      </c>
      <c r="C57" s="5" t="s">
        <v>49</v>
      </c>
      <c r="D57" s="5" t="s">
        <v>50</v>
      </c>
      <c r="E57" s="5" t="s">
        <v>183</v>
      </c>
      <c r="F57" s="6" t="n">
        <v>43617</v>
      </c>
      <c r="G57" s="5" t="s">
        <v>52</v>
      </c>
      <c r="H57" s="7" t="n">
        <v>650</v>
      </c>
      <c r="I57" s="4" t="n">
        <v>8</v>
      </c>
      <c r="J57" s="8" t="n">
        <f aca="false">ROUND(MIN(H57,H57/I57*(Assumptions!$B$4-F57)/365.25),2)</f>
        <v>596.83</v>
      </c>
      <c r="K57" s="8" t="n">
        <f aca="false">H57-J57</f>
        <v>53.17</v>
      </c>
      <c r="L57" s="4" t="s">
        <v>179</v>
      </c>
      <c r="M57" s="4" t="s">
        <v>31</v>
      </c>
      <c r="N57" s="9" t="str">
        <f aca="false">IF(L57="","— (unassigned)",INDEX('Employee Lookup'!$B$5:$B$24,MATCH(L57,'Employee Lookup'!$A$5:$A$24,0)))</f>
        <v>Charlotte Price</v>
      </c>
      <c r="O57" s="9" t="str">
        <f aca="false">IF(L57="","—",INDEX('Employee Lookup'!$C$5:$C$24,MATCH(L57,'Employee Lookup'!$A$5:$A$24,0)))</f>
        <v>Finance</v>
      </c>
      <c r="P57" s="5" t="s">
        <v>32</v>
      </c>
      <c r="Q57" s="4" t="s">
        <v>33</v>
      </c>
      <c r="R57" s="4" t="s">
        <v>34</v>
      </c>
      <c r="S57" s="6" t="n">
        <v>45444</v>
      </c>
      <c r="T57" s="10" t="str">
        <f aca="false">IF(S57&lt;Assumptions!$B$4,"Expired",IF(S57-Assumptions!$B$4&lt;=Assumptions!$B$6,"Expiring soon","Valid"))</f>
        <v>Expired</v>
      </c>
      <c r="U57" s="6" t="n">
        <v>46203</v>
      </c>
      <c r="V57" s="10" t="str">
        <f aca="false">IF(Assumptions!$B$4-U57&gt;Assumptions!$B$7,"Overdue","OK")</f>
        <v>OK</v>
      </c>
    </row>
    <row r="58" customFormat="false" ht="15" hidden="false" customHeight="false" outlineLevel="0" collapsed="false">
      <c r="A58" s="11" t="s">
        <v>184</v>
      </c>
      <c r="B58" s="12" t="s">
        <v>25</v>
      </c>
      <c r="C58" s="12" t="s">
        <v>54</v>
      </c>
      <c r="D58" s="12" t="s">
        <v>54</v>
      </c>
      <c r="E58" s="12" t="s">
        <v>185</v>
      </c>
      <c r="F58" s="13" t="n">
        <v>44935</v>
      </c>
      <c r="G58" s="12" t="s">
        <v>56</v>
      </c>
      <c r="H58" s="14" t="n">
        <v>1350</v>
      </c>
      <c r="I58" s="11" t="n">
        <v>4</v>
      </c>
      <c r="J58" s="15" t="n">
        <f aca="false">ROUND(MIN(H58,H58/I58*(Assumptions!$B$4-F58)/365.25),2)</f>
        <v>1261.29</v>
      </c>
      <c r="K58" s="15" t="n">
        <f aca="false">H58-J58</f>
        <v>88.71</v>
      </c>
      <c r="L58" s="11" t="s">
        <v>186</v>
      </c>
      <c r="M58" s="11" t="s">
        <v>31</v>
      </c>
      <c r="N58" s="16" t="str">
        <f aca="false">IF(L58="","— (unassigned)",INDEX('Employee Lookup'!$B$5:$B$24,MATCH(L58,'Employee Lookup'!$A$5:$A$24,0)))</f>
        <v>Lucas Gray</v>
      </c>
      <c r="O58" s="16" t="str">
        <f aca="false">IF(L58="","—",INDEX('Employee Lookup'!$C$5:$C$24,MATCH(L58,'Employee Lookup'!$A$5:$A$24,0)))</f>
        <v>Finance</v>
      </c>
      <c r="P58" s="12" t="s">
        <v>32</v>
      </c>
      <c r="Q58" s="11" t="s">
        <v>33</v>
      </c>
      <c r="R58" s="11" t="s">
        <v>34</v>
      </c>
      <c r="S58" s="13" t="n">
        <v>46031</v>
      </c>
      <c r="T58" s="17" t="str">
        <f aca="false">IF(S58&lt;Assumptions!$B$4,"Expired",IF(S58-Assumptions!$B$4&lt;=Assumptions!$B$6,"Expiring soon","Valid"))</f>
        <v>Expired</v>
      </c>
      <c r="U58" s="13" t="n">
        <v>46203</v>
      </c>
      <c r="V58" s="17" t="str">
        <f aca="false">IF(Assumptions!$B$4-U58&gt;Assumptions!$B$7,"Overdue","OK")</f>
        <v>OK</v>
      </c>
    </row>
    <row r="59" customFormat="false" ht="15" hidden="false" customHeight="false" outlineLevel="0" collapsed="false">
      <c r="A59" s="4" t="s">
        <v>187</v>
      </c>
      <c r="B59" s="5" t="s">
        <v>36</v>
      </c>
      <c r="C59" s="5" t="s">
        <v>37</v>
      </c>
      <c r="D59" s="5" t="s">
        <v>38</v>
      </c>
      <c r="E59" s="5" t="s">
        <v>188</v>
      </c>
      <c r="F59" s="6" t="n">
        <v>44935</v>
      </c>
      <c r="G59" s="5" t="s">
        <v>29</v>
      </c>
      <c r="H59" s="7" t="n">
        <v>320</v>
      </c>
      <c r="I59" s="4" t="n">
        <v>5</v>
      </c>
      <c r="J59" s="8" t="n">
        <f aca="false">ROUND(MIN(H59,H59/I59*(Assumptions!$B$4-F59)/365.25),2)</f>
        <v>239.18</v>
      </c>
      <c r="K59" s="8" t="n">
        <f aca="false">H59-J59</f>
        <v>80.82</v>
      </c>
      <c r="L59" s="4" t="s">
        <v>186</v>
      </c>
      <c r="M59" s="4" t="s">
        <v>31</v>
      </c>
      <c r="N59" s="9" t="str">
        <f aca="false">IF(L59="","— (unassigned)",INDEX('Employee Lookup'!$B$5:$B$24,MATCH(L59,'Employee Lookup'!$A$5:$A$24,0)))</f>
        <v>Lucas Gray</v>
      </c>
      <c r="O59" s="9" t="str">
        <f aca="false">IF(L59="","—",INDEX('Employee Lookup'!$C$5:$C$24,MATCH(L59,'Employee Lookup'!$A$5:$A$24,0)))</f>
        <v>Finance</v>
      </c>
      <c r="P59" s="5" t="s">
        <v>32</v>
      </c>
      <c r="Q59" s="4" t="s">
        <v>33</v>
      </c>
      <c r="R59" s="4" t="s">
        <v>34</v>
      </c>
      <c r="S59" s="6" t="n">
        <v>46031</v>
      </c>
      <c r="T59" s="10" t="str">
        <f aca="false">IF(S59&lt;Assumptions!$B$4,"Expired",IF(S59-Assumptions!$B$4&lt;=Assumptions!$B$6,"Expiring soon","Valid"))</f>
        <v>Expired</v>
      </c>
      <c r="U59" s="6" t="n">
        <v>46203</v>
      </c>
      <c r="V59" s="10" t="str">
        <f aca="false">IF(Assumptions!$B$4-U59&gt;Assumptions!$B$7,"Overdue","OK")</f>
        <v>OK</v>
      </c>
    </row>
    <row r="60" customFormat="false" ht="15" hidden="false" customHeight="false" outlineLevel="0" collapsed="false">
      <c r="A60" s="11" t="s">
        <v>189</v>
      </c>
      <c r="B60" s="12" t="s">
        <v>48</v>
      </c>
      <c r="C60" s="12" t="s">
        <v>49</v>
      </c>
      <c r="D60" s="12" t="s">
        <v>50</v>
      </c>
      <c r="E60" s="12" t="s">
        <v>190</v>
      </c>
      <c r="F60" s="13" t="n">
        <v>44928</v>
      </c>
      <c r="G60" s="12" t="s">
        <v>52</v>
      </c>
      <c r="H60" s="14" t="n">
        <v>650</v>
      </c>
      <c r="I60" s="11" t="n">
        <v>8</v>
      </c>
      <c r="J60" s="15" t="n">
        <f aca="false">ROUND(MIN(H60,H60/I60*(Assumptions!$B$4-F60)/365.25),2)</f>
        <v>305.2</v>
      </c>
      <c r="K60" s="15" t="n">
        <f aca="false">H60-J60</f>
        <v>344.8</v>
      </c>
      <c r="L60" s="11" t="s">
        <v>186</v>
      </c>
      <c r="M60" s="11" t="s">
        <v>31</v>
      </c>
      <c r="N60" s="16" t="str">
        <f aca="false">IF(L60="","— (unassigned)",INDEX('Employee Lookup'!$B$5:$B$24,MATCH(L60,'Employee Lookup'!$A$5:$A$24,0)))</f>
        <v>Lucas Gray</v>
      </c>
      <c r="O60" s="16" t="str">
        <f aca="false">IF(L60="","—",INDEX('Employee Lookup'!$C$5:$C$24,MATCH(L60,'Employee Lookup'!$A$5:$A$24,0)))</f>
        <v>Finance</v>
      </c>
      <c r="P60" s="12" t="s">
        <v>32</v>
      </c>
      <c r="Q60" s="11" t="s">
        <v>46</v>
      </c>
      <c r="R60" s="11" t="s">
        <v>34</v>
      </c>
      <c r="S60" s="13" t="n">
        <v>46754</v>
      </c>
      <c r="T60" s="17" t="str">
        <f aca="false">IF(S60&lt;Assumptions!$B$4,"Expired",IF(S60-Assumptions!$B$4&lt;=Assumptions!$B$6,"Expiring soon","Valid"))</f>
        <v>Valid</v>
      </c>
      <c r="U60" s="13" t="n">
        <v>46006</v>
      </c>
      <c r="V60" s="17" t="str">
        <f aca="false">IF(Assumptions!$B$4-U60&gt;Assumptions!$B$7,"Overdue","OK")</f>
        <v>OK</v>
      </c>
    </row>
    <row r="61" customFormat="false" ht="15" hidden="false" customHeight="false" outlineLevel="0" collapsed="false">
      <c r="A61" s="4" t="s">
        <v>191</v>
      </c>
      <c r="B61" s="5" t="s">
        <v>25</v>
      </c>
      <c r="C61" s="5" t="s">
        <v>54</v>
      </c>
      <c r="D61" s="5" t="s">
        <v>54</v>
      </c>
      <c r="E61" s="5" t="s">
        <v>192</v>
      </c>
      <c r="F61" s="6" t="n">
        <v>44659</v>
      </c>
      <c r="G61" s="5" t="s">
        <v>56</v>
      </c>
      <c r="H61" s="7" t="n">
        <v>1350</v>
      </c>
      <c r="I61" s="4" t="n">
        <v>4</v>
      </c>
      <c r="J61" s="8" t="n">
        <f aca="false">ROUND(MIN(H61,H61/I61*(Assumptions!$B$4-F61)/365.25),2)</f>
        <v>1350</v>
      </c>
      <c r="K61" s="8" t="n">
        <f aca="false">H61-J61</f>
        <v>0</v>
      </c>
      <c r="L61" s="4" t="s">
        <v>193</v>
      </c>
      <c r="M61" s="4" t="s">
        <v>31</v>
      </c>
      <c r="N61" s="9" t="str">
        <f aca="false">IF(L61="","— (unassigned)",INDEX('Employee Lookup'!$B$5:$B$24,MATCH(L61,'Employee Lookup'!$A$5:$A$24,0)))</f>
        <v>Amelia Russell</v>
      </c>
      <c r="O61" s="9" t="str">
        <f aca="false">IF(L61="","—",INDEX('Employee Lookup'!$C$5:$C$24,MATCH(L61,'Employee Lookup'!$A$5:$A$24,0)))</f>
        <v>Human Resources</v>
      </c>
      <c r="P61" s="5" t="s">
        <v>32</v>
      </c>
      <c r="Q61" s="4" t="s">
        <v>33</v>
      </c>
      <c r="R61" s="4" t="s">
        <v>34</v>
      </c>
      <c r="S61" s="6" t="n">
        <v>45755</v>
      </c>
      <c r="T61" s="10" t="str">
        <f aca="false">IF(S61&lt;Assumptions!$B$4,"Expired",IF(S61-Assumptions!$B$4&lt;=Assumptions!$B$6,"Expiring soon","Valid"))</f>
        <v>Expired</v>
      </c>
      <c r="U61" s="6" t="n">
        <v>46203</v>
      </c>
      <c r="V61" s="10" t="str">
        <f aca="false">IF(Assumptions!$B$4-U61&gt;Assumptions!$B$7,"Overdue","OK")</f>
        <v>OK</v>
      </c>
    </row>
    <row r="62" customFormat="false" ht="15" hidden="false" customHeight="false" outlineLevel="0" collapsed="false">
      <c r="A62" s="11" t="s">
        <v>194</v>
      </c>
      <c r="B62" s="12" t="s">
        <v>36</v>
      </c>
      <c r="C62" s="12" t="s">
        <v>37</v>
      </c>
      <c r="D62" s="12" t="s">
        <v>38</v>
      </c>
      <c r="E62" s="12" t="s">
        <v>195</v>
      </c>
      <c r="F62" s="13" t="n">
        <v>44659</v>
      </c>
      <c r="G62" s="12" t="s">
        <v>29</v>
      </c>
      <c r="H62" s="14" t="n">
        <v>320</v>
      </c>
      <c r="I62" s="11" t="n">
        <v>5</v>
      </c>
      <c r="J62" s="15" t="n">
        <f aca="false">ROUND(MIN(H62,H62/I62*(Assumptions!$B$4-F62)/365.25),2)</f>
        <v>287.54</v>
      </c>
      <c r="K62" s="15" t="n">
        <f aca="false">H62-J62</f>
        <v>32.46</v>
      </c>
      <c r="L62" s="11" t="s">
        <v>193</v>
      </c>
      <c r="M62" s="11" t="s">
        <v>31</v>
      </c>
      <c r="N62" s="16" t="str">
        <f aca="false">IF(L62="","— (unassigned)",INDEX('Employee Lookup'!$B$5:$B$24,MATCH(L62,'Employee Lookup'!$A$5:$A$24,0)))</f>
        <v>Amelia Russell</v>
      </c>
      <c r="O62" s="16" t="str">
        <f aca="false">IF(L62="","—",INDEX('Employee Lookup'!$C$5:$C$24,MATCH(L62,'Employee Lookup'!$A$5:$A$24,0)))</f>
        <v>Human Resources</v>
      </c>
      <c r="P62" s="12" t="s">
        <v>32</v>
      </c>
      <c r="Q62" s="11" t="s">
        <v>33</v>
      </c>
      <c r="R62" s="11" t="s">
        <v>34</v>
      </c>
      <c r="S62" s="13" t="n">
        <v>45755</v>
      </c>
      <c r="T62" s="17" t="str">
        <f aca="false">IF(S62&lt;Assumptions!$B$4,"Expired",IF(S62-Assumptions!$B$4&lt;=Assumptions!$B$6,"Expiring soon","Valid"))</f>
        <v>Expired</v>
      </c>
      <c r="U62" s="13" t="n">
        <v>46203</v>
      </c>
      <c r="V62" s="17" t="str">
        <f aca="false">IF(Assumptions!$B$4-U62&gt;Assumptions!$B$7,"Overdue","OK")</f>
        <v>OK</v>
      </c>
    </row>
    <row r="63" customFormat="false" ht="15" hidden="false" customHeight="false" outlineLevel="0" collapsed="false">
      <c r="A63" s="4" t="s">
        <v>196</v>
      </c>
      <c r="B63" s="5" t="s">
        <v>48</v>
      </c>
      <c r="C63" s="5" t="s">
        <v>49</v>
      </c>
      <c r="D63" s="5" t="s">
        <v>50</v>
      </c>
      <c r="E63" s="5" t="s">
        <v>197</v>
      </c>
      <c r="F63" s="6" t="n">
        <v>44466</v>
      </c>
      <c r="G63" s="5" t="s">
        <v>52</v>
      </c>
      <c r="H63" s="7" t="n">
        <v>650</v>
      </c>
      <c r="I63" s="4" t="n">
        <v>8</v>
      </c>
      <c r="J63" s="8" t="n">
        <f aca="false">ROUND(MIN(H63,H63/I63*(Assumptions!$B$4-F63)/365.25),2)</f>
        <v>407.97</v>
      </c>
      <c r="K63" s="8" t="n">
        <f aca="false">H63-J63</f>
        <v>242.03</v>
      </c>
      <c r="L63" s="4" t="s">
        <v>193</v>
      </c>
      <c r="M63" s="4" t="s">
        <v>31</v>
      </c>
      <c r="N63" s="9" t="str">
        <f aca="false">IF(L63="","— (unassigned)",INDEX('Employee Lookup'!$B$5:$B$24,MATCH(L63,'Employee Lookup'!$A$5:$A$24,0)))</f>
        <v>Amelia Russell</v>
      </c>
      <c r="O63" s="9" t="str">
        <f aca="false">IF(L63="","—",INDEX('Employee Lookup'!$C$5:$C$24,MATCH(L63,'Employee Lookup'!$A$5:$A$24,0)))</f>
        <v>Human Resources</v>
      </c>
      <c r="P63" s="5" t="s">
        <v>32</v>
      </c>
      <c r="Q63" s="4" t="s">
        <v>46</v>
      </c>
      <c r="R63" s="4" t="s">
        <v>34</v>
      </c>
      <c r="S63" s="6" t="n">
        <v>46292</v>
      </c>
      <c r="T63" s="10" t="str">
        <f aca="false">IF(S63&lt;Assumptions!$B$4,"Expired",IF(S63-Assumptions!$B$4&lt;=Assumptions!$B$6,"Expiring soon","Valid"))</f>
        <v>Expired</v>
      </c>
      <c r="U63" s="6" t="n">
        <v>46203</v>
      </c>
      <c r="V63" s="10" t="str">
        <f aca="false">IF(Assumptions!$B$4-U63&gt;Assumptions!$B$7,"Overdue","OK")</f>
        <v>OK</v>
      </c>
    </row>
    <row r="64" customFormat="false" ht="15" hidden="false" customHeight="false" outlineLevel="0" collapsed="false">
      <c r="A64" s="11" t="s">
        <v>198</v>
      </c>
      <c r="B64" s="12" t="s">
        <v>25</v>
      </c>
      <c r="C64" s="12" t="s">
        <v>54</v>
      </c>
      <c r="D64" s="12" t="s">
        <v>54</v>
      </c>
      <c r="E64" s="12" t="s">
        <v>199</v>
      </c>
      <c r="F64" s="13" t="n">
        <v>45178</v>
      </c>
      <c r="G64" s="12" t="s">
        <v>56</v>
      </c>
      <c r="H64" s="14" t="n">
        <v>1350</v>
      </c>
      <c r="I64" s="11" t="n">
        <v>4</v>
      </c>
      <c r="J64" s="15" t="n">
        <f aca="false">ROUND(MIN(H64,H64/I64*(Assumptions!$B$4-F64)/365.25),2)</f>
        <v>1036.76</v>
      </c>
      <c r="K64" s="15" t="n">
        <f aca="false">H64-J64</f>
        <v>313.24</v>
      </c>
      <c r="L64" s="11" t="s">
        <v>200</v>
      </c>
      <c r="M64" s="11" t="s">
        <v>31</v>
      </c>
      <c r="N64" s="16" t="str">
        <f aca="false">IF(L64="","— (unassigned)",INDEX('Employee Lookup'!$B$5:$B$24,MATCH(L64,'Employee Lookup'!$A$5:$A$24,0)))</f>
        <v>Henry Coleman</v>
      </c>
      <c r="O64" s="16" t="str">
        <f aca="false">IF(L64="","—",INDEX('Employee Lookup'!$C$5:$C$24,MATCH(L64,'Employee Lookup'!$A$5:$A$24,0)))</f>
        <v>Operations</v>
      </c>
      <c r="P64" s="12" t="s">
        <v>32</v>
      </c>
      <c r="Q64" s="11" t="s">
        <v>33</v>
      </c>
      <c r="R64" s="11" t="s">
        <v>34</v>
      </c>
      <c r="S64" s="13" t="n">
        <v>46274</v>
      </c>
      <c r="T64" s="17" t="str">
        <f aca="false">IF(S64&lt;Assumptions!$B$4,"Expired",IF(S64-Assumptions!$B$4&lt;=Assumptions!$B$6,"Expiring soon","Valid"))</f>
        <v>Expired</v>
      </c>
      <c r="U64" s="13" t="n">
        <v>46203</v>
      </c>
      <c r="V64" s="17" t="str">
        <f aca="false">IF(Assumptions!$B$4-U64&gt;Assumptions!$B$7,"Overdue","OK")</f>
        <v>OK</v>
      </c>
    </row>
    <row r="65" customFormat="false" ht="15" hidden="false" customHeight="false" outlineLevel="0" collapsed="false">
      <c r="A65" s="4" t="s">
        <v>201</v>
      </c>
      <c r="B65" s="5" t="s">
        <v>36</v>
      </c>
      <c r="C65" s="5" t="s">
        <v>37</v>
      </c>
      <c r="D65" s="5" t="s">
        <v>38</v>
      </c>
      <c r="E65" s="5" t="s">
        <v>202</v>
      </c>
      <c r="F65" s="6" t="n">
        <v>45178</v>
      </c>
      <c r="G65" s="5" t="s">
        <v>29</v>
      </c>
      <c r="H65" s="7" t="n">
        <v>320</v>
      </c>
      <c r="I65" s="4" t="n">
        <v>5</v>
      </c>
      <c r="J65" s="8" t="n">
        <f aca="false">ROUND(MIN(H65,H65/I65*(Assumptions!$B$4-F65)/365.25),2)</f>
        <v>196.6</v>
      </c>
      <c r="K65" s="8" t="n">
        <f aca="false">H65-J65</f>
        <v>123.4</v>
      </c>
      <c r="L65" s="4" t="s">
        <v>200</v>
      </c>
      <c r="M65" s="4" t="s">
        <v>31</v>
      </c>
      <c r="N65" s="9" t="str">
        <f aca="false">IF(L65="","— (unassigned)",INDEX('Employee Lookup'!$B$5:$B$24,MATCH(L65,'Employee Lookup'!$A$5:$A$24,0)))</f>
        <v>Henry Coleman</v>
      </c>
      <c r="O65" s="9" t="str">
        <f aca="false">IF(L65="","—",INDEX('Employee Lookup'!$C$5:$C$24,MATCH(L65,'Employee Lookup'!$A$5:$A$24,0)))</f>
        <v>Operations</v>
      </c>
      <c r="P65" s="5" t="s">
        <v>32</v>
      </c>
      <c r="Q65" s="4" t="s">
        <v>33</v>
      </c>
      <c r="R65" s="4" t="s">
        <v>34</v>
      </c>
      <c r="S65" s="6" t="n">
        <v>46274</v>
      </c>
      <c r="T65" s="10" t="str">
        <f aca="false">IF(S65&lt;Assumptions!$B$4,"Expired",IF(S65-Assumptions!$B$4&lt;=Assumptions!$B$6,"Expiring soon","Valid"))</f>
        <v>Expired</v>
      </c>
      <c r="U65" s="6" t="n">
        <v>46203</v>
      </c>
      <c r="V65" s="10" t="str">
        <f aca="false">IF(Assumptions!$B$4-U65&gt;Assumptions!$B$7,"Overdue","OK")</f>
        <v>OK</v>
      </c>
    </row>
    <row r="66" customFormat="false" ht="15" hidden="false" customHeight="false" outlineLevel="0" collapsed="false">
      <c r="A66" s="11" t="s">
        <v>203</v>
      </c>
      <c r="B66" s="12" t="s">
        <v>41</v>
      </c>
      <c r="C66" s="12" t="s">
        <v>42</v>
      </c>
      <c r="D66" s="12" t="s">
        <v>43</v>
      </c>
      <c r="E66" s="12" t="s">
        <v>204</v>
      </c>
      <c r="F66" s="13" t="n">
        <v>45352</v>
      </c>
      <c r="G66" s="12" t="s">
        <v>45</v>
      </c>
      <c r="H66" s="14" t="n">
        <v>999</v>
      </c>
      <c r="I66" s="11" t="n">
        <v>3</v>
      </c>
      <c r="J66" s="15" t="n">
        <f aca="false">ROUND(MIN(H66,H66/I66*(Assumptions!$B$4-F66)/365.25),2)</f>
        <v>864.3</v>
      </c>
      <c r="K66" s="15" t="n">
        <f aca="false">H66-J66</f>
        <v>134.7</v>
      </c>
      <c r="L66" s="11" t="s">
        <v>200</v>
      </c>
      <c r="M66" s="11" t="s">
        <v>31</v>
      </c>
      <c r="N66" s="16" t="str">
        <f aca="false">IF(L66="","— (unassigned)",INDEX('Employee Lookup'!$B$5:$B$24,MATCH(L66,'Employee Lookup'!$A$5:$A$24,0)))</f>
        <v>Henry Coleman</v>
      </c>
      <c r="O66" s="16" t="str">
        <f aca="false">IF(L66="","—",INDEX('Employee Lookup'!$C$5:$C$24,MATCH(L66,'Employee Lookup'!$A$5:$A$24,0)))</f>
        <v>Operations</v>
      </c>
      <c r="P66" s="12" t="s">
        <v>32</v>
      </c>
      <c r="Q66" s="11" t="s">
        <v>46</v>
      </c>
      <c r="R66" s="11" t="s">
        <v>34</v>
      </c>
      <c r="S66" s="13" t="n">
        <v>45717</v>
      </c>
      <c r="T66" s="17" t="str">
        <f aca="false">IF(S66&lt;Assumptions!$B$4,"Expired",IF(S66-Assumptions!$B$4&lt;=Assumptions!$B$6,"Expiring soon","Valid"))</f>
        <v>Expired</v>
      </c>
      <c r="U66" s="13" t="n">
        <v>46203</v>
      </c>
      <c r="V66" s="17" t="str">
        <f aca="false">IF(Assumptions!$B$4-U66&gt;Assumptions!$B$7,"Overdue","OK")</f>
        <v>OK</v>
      </c>
    </row>
    <row r="67" customFormat="false" ht="15" hidden="false" customHeight="false" outlineLevel="0" collapsed="false">
      <c r="A67" s="4" t="s">
        <v>205</v>
      </c>
      <c r="B67" s="5" t="s">
        <v>48</v>
      </c>
      <c r="C67" s="5" t="s">
        <v>49</v>
      </c>
      <c r="D67" s="5" t="s">
        <v>50</v>
      </c>
      <c r="E67" s="5" t="s">
        <v>206</v>
      </c>
      <c r="F67" s="6" t="n">
        <v>43617</v>
      </c>
      <c r="G67" s="5" t="s">
        <v>52</v>
      </c>
      <c r="H67" s="7" t="n">
        <v>650</v>
      </c>
      <c r="I67" s="4" t="n">
        <v>8</v>
      </c>
      <c r="J67" s="8" t="n">
        <f aca="false">ROUND(MIN(H67,H67/I67*(Assumptions!$B$4-F67)/365.25),2)</f>
        <v>596.83</v>
      </c>
      <c r="K67" s="8" t="n">
        <f aca="false">H67-J67</f>
        <v>53.17</v>
      </c>
      <c r="L67" s="4" t="s">
        <v>200</v>
      </c>
      <c r="M67" s="4" t="s">
        <v>31</v>
      </c>
      <c r="N67" s="9" t="str">
        <f aca="false">IF(L67="","— (unassigned)",INDEX('Employee Lookup'!$B$5:$B$24,MATCH(L67,'Employee Lookup'!$A$5:$A$24,0)))</f>
        <v>Henry Coleman</v>
      </c>
      <c r="O67" s="9" t="str">
        <f aca="false">IF(L67="","—",INDEX('Employee Lookup'!$C$5:$C$24,MATCH(L67,'Employee Lookup'!$A$5:$A$24,0)))</f>
        <v>Operations</v>
      </c>
      <c r="P67" s="5" t="s">
        <v>32</v>
      </c>
      <c r="Q67" s="4" t="s">
        <v>33</v>
      </c>
      <c r="R67" s="4" t="s">
        <v>34</v>
      </c>
      <c r="S67" s="6" t="n">
        <v>45444</v>
      </c>
      <c r="T67" s="10" t="str">
        <f aca="false">IF(S67&lt;Assumptions!$B$4,"Expired",IF(S67-Assumptions!$B$4&lt;=Assumptions!$B$6,"Expiring soon","Valid"))</f>
        <v>Expired</v>
      </c>
      <c r="U67" s="6" t="n">
        <v>46203</v>
      </c>
      <c r="V67" s="10" t="str">
        <f aca="false">IF(Assumptions!$B$4-U67&gt;Assumptions!$B$7,"Overdue","OK")</f>
        <v>OK</v>
      </c>
    </row>
    <row r="68" customFormat="false" ht="15" hidden="false" customHeight="false" outlineLevel="0" collapsed="false">
      <c r="A68" s="11" t="s">
        <v>207</v>
      </c>
      <c r="B68" s="12" t="s">
        <v>25</v>
      </c>
      <c r="C68" s="12" t="s">
        <v>54</v>
      </c>
      <c r="D68" s="12" t="s">
        <v>54</v>
      </c>
      <c r="E68" s="12" t="s">
        <v>208</v>
      </c>
      <c r="F68" s="13" t="n">
        <v>44802</v>
      </c>
      <c r="G68" s="12" t="s">
        <v>56</v>
      </c>
      <c r="H68" s="14" t="n">
        <v>1350</v>
      </c>
      <c r="I68" s="11" t="n">
        <v>4</v>
      </c>
      <c r="J68" s="15" t="n">
        <f aca="false">ROUND(MIN(H68,H68/I68*(Assumptions!$B$4-F68)/365.25),2)</f>
        <v>1350</v>
      </c>
      <c r="K68" s="15" t="n">
        <f aca="false">H68-J68</f>
        <v>0</v>
      </c>
      <c r="L68" s="11" t="s">
        <v>209</v>
      </c>
      <c r="M68" s="11" t="s">
        <v>31</v>
      </c>
      <c r="N68" s="16" t="str">
        <f aca="false">IF(L68="","— (unassigned)",INDEX('Employee Lookup'!$B$5:$B$24,MATCH(L68,'Employee Lookup'!$A$5:$A$24,0)))</f>
        <v>Harper Jenkins</v>
      </c>
      <c r="O68" s="16" t="str">
        <f aca="false">IF(L68="","—",INDEX('Employee Lookup'!$C$5:$C$24,MATCH(L68,'Employee Lookup'!$A$5:$A$24,0)))</f>
        <v>Operations</v>
      </c>
      <c r="P68" s="12" t="s">
        <v>32</v>
      </c>
      <c r="Q68" s="11" t="s">
        <v>33</v>
      </c>
      <c r="R68" s="11" t="s">
        <v>34</v>
      </c>
      <c r="S68" s="13" t="n">
        <v>45898</v>
      </c>
      <c r="T68" s="17" t="str">
        <f aca="false">IF(S68&lt;Assumptions!$B$4,"Expired",IF(S68-Assumptions!$B$4&lt;=Assumptions!$B$6,"Expiring soon","Valid"))</f>
        <v>Expired</v>
      </c>
      <c r="U68" s="13" t="n">
        <v>46203</v>
      </c>
      <c r="V68" s="17" t="str">
        <f aca="false">IF(Assumptions!$B$4-U68&gt;Assumptions!$B$7,"Overdue","OK")</f>
        <v>OK</v>
      </c>
    </row>
    <row r="69" customFormat="false" ht="15" hidden="false" customHeight="false" outlineLevel="0" collapsed="false">
      <c r="A69" s="4" t="s">
        <v>210</v>
      </c>
      <c r="B69" s="5" t="s">
        <v>36</v>
      </c>
      <c r="C69" s="5" t="s">
        <v>37</v>
      </c>
      <c r="D69" s="5" t="s">
        <v>38</v>
      </c>
      <c r="E69" s="5" t="s">
        <v>211</v>
      </c>
      <c r="F69" s="6" t="n">
        <v>44802</v>
      </c>
      <c r="G69" s="5" t="s">
        <v>29</v>
      </c>
      <c r="H69" s="7" t="n">
        <v>320</v>
      </c>
      <c r="I69" s="4" t="n">
        <v>5</v>
      </c>
      <c r="J69" s="8" t="n">
        <f aca="false">ROUND(MIN(H69,H69/I69*(Assumptions!$B$4-F69)/365.25),2)</f>
        <v>262.48</v>
      </c>
      <c r="K69" s="8" t="n">
        <f aca="false">H69-J69</f>
        <v>57.52</v>
      </c>
      <c r="L69" s="4" t="s">
        <v>209</v>
      </c>
      <c r="M69" s="4" t="s">
        <v>31</v>
      </c>
      <c r="N69" s="9" t="str">
        <f aca="false">IF(L69="","— (unassigned)",INDEX('Employee Lookup'!$B$5:$B$24,MATCH(L69,'Employee Lookup'!$A$5:$A$24,0)))</f>
        <v>Harper Jenkins</v>
      </c>
      <c r="O69" s="9" t="str">
        <f aca="false">IF(L69="","—",INDEX('Employee Lookup'!$C$5:$C$24,MATCH(L69,'Employee Lookup'!$A$5:$A$24,0)))</f>
        <v>Operations</v>
      </c>
      <c r="P69" s="5" t="s">
        <v>32</v>
      </c>
      <c r="Q69" s="4" t="s">
        <v>33</v>
      </c>
      <c r="R69" s="4" t="s">
        <v>34</v>
      </c>
      <c r="S69" s="6" t="n">
        <v>45898</v>
      </c>
      <c r="T69" s="10" t="str">
        <f aca="false">IF(S69&lt;Assumptions!$B$4,"Expired",IF(S69-Assumptions!$B$4&lt;=Assumptions!$B$6,"Expiring soon","Valid"))</f>
        <v>Expired</v>
      </c>
      <c r="U69" s="6" t="n">
        <v>46203</v>
      </c>
      <c r="V69" s="10" t="str">
        <f aca="false">IF(Assumptions!$B$4-U69&gt;Assumptions!$B$7,"Overdue","OK")</f>
        <v>OK</v>
      </c>
    </row>
    <row r="70" customFormat="false" ht="15" hidden="false" customHeight="false" outlineLevel="0" collapsed="false">
      <c r="A70" s="11" t="s">
        <v>212</v>
      </c>
      <c r="B70" s="12" t="s">
        <v>48</v>
      </c>
      <c r="C70" s="12" t="s">
        <v>49</v>
      </c>
      <c r="D70" s="12" t="s">
        <v>50</v>
      </c>
      <c r="E70" s="12" t="s">
        <v>213</v>
      </c>
      <c r="F70" s="13" t="n">
        <v>44795</v>
      </c>
      <c r="G70" s="12" t="s">
        <v>52</v>
      </c>
      <c r="H70" s="14" t="n">
        <v>650</v>
      </c>
      <c r="I70" s="11" t="n">
        <v>8</v>
      </c>
      <c r="J70" s="15" t="n">
        <f aca="false">ROUND(MIN(H70,H70/I70*(Assumptions!$B$4-F70)/365.25),2)</f>
        <v>334.79</v>
      </c>
      <c r="K70" s="15" t="n">
        <f aca="false">H70-J70</f>
        <v>315.21</v>
      </c>
      <c r="L70" s="11" t="s">
        <v>209</v>
      </c>
      <c r="M70" s="11" t="s">
        <v>31</v>
      </c>
      <c r="N70" s="16" t="str">
        <f aca="false">IF(L70="","— (unassigned)",INDEX('Employee Lookup'!$B$5:$B$24,MATCH(L70,'Employee Lookup'!$A$5:$A$24,0)))</f>
        <v>Harper Jenkins</v>
      </c>
      <c r="O70" s="16" t="str">
        <f aca="false">IF(L70="","—",INDEX('Employee Lookup'!$C$5:$C$24,MATCH(L70,'Employee Lookup'!$A$5:$A$24,0)))</f>
        <v>Operations</v>
      </c>
      <c r="P70" s="12" t="s">
        <v>32</v>
      </c>
      <c r="Q70" s="11" t="s">
        <v>46</v>
      </c>
      <c r="R70" s="11" t="s">
        <v>34</v>
      </c>
      <c r="S70" s="13" t="n">
        <v>46621</v>
      </c>
      <c r="T70" s="17" t="str">
        <f aca="false">IF(S70&lt;Assumptions!$B$4,"Expired",IF(S70-Assumptions!$B$4&lt;=Assumptions!$B$6,"Expiring soon","Valid"))</f>
        <v>Valid</v>
      </c>
      <c r="U70" s="13" t="n">
        <v>46203</v>
      </c>
      <c r="V70" s="17" t="str">
        <f aca="false">IF(Assumptions!$B$4-U70&gt;Assumptions!$B$7,"Overdue","OK")</f>
        <v>OK</v>
      </c>
    </row>
    <row r="71" customFormat="false" ht="15" hidden="false" customHeight="false" outlineLevel="0" collapsed="false">
      <c r="A71" s="4" t="s">
        <v>214</v>
      </c>
      <c r="B71" s="5" t="s">
        <v>25</v>
      </c>
      <c r="C71" s="5" t="s">
        <v>63</v>
      </c>
      <c r="D71" s="5" t="s">
        <v>64</v>
      </c>
      <c r="E71" s="5" t="s">
        <v>215</v>
      </c>
      <c r="F71" s="6" t="n">
        <v>45075</v>
      </c>
      <c r="G71" s="5" t="s">
        <v>66</v>
      </c>
      <c r="H71" s="7" t="n">
        <v>2400</v>
      </c>
      <c r="I71" s="4" t="n">
        <v>4</v>
      </c>
      <c r="J71" s="8" t="n">
        <f aca="false">ROUND(MIN(H71,H71/I71*(Assumptions!$B$4-F71)/365.25),2)</f>
        <v>2012.32</v>
      </c>
      <c r="K71" s="8" t="n">
        <f aca="false">H71-J71</f>
        <v>387.68</v>
      </c>
      <c r="L71" s="4" t="s">
        <v>216</v>
      </c>
      <c r="M71" s="4" t="s">
        <v>31</v>
      </c>
      <c r="N71" s="9" t="str">
        <f aca="false">IF(L71="","— (unassigned)",INDEX('Employee Lookup'!$B$5:$B$24,MATCH(L71,'Employee Lookup'!$A$5:$A$24,0)))</f>
        <v>Jack Stewart</v>
      </c>
      <c r="O71" s="9" t="str">
        <f aca="false">IF(L71="","—",INDEX('Employee Lookup'!$C$5:$C$24,MATCH(L71,'Employee Lookup'!$A$5:$A$24,0)))</f>
        <v>Technology</v>
      </c>
      <c r="P71" s="5" t="s">
        <v>32</v>
      </c>
      <c r="Q71" s="4" t="s">
        <v>33</v>
      </c>
      <c r="R71" s="4" t="s">
        <v>34</v>
      </c>
      <c r="S71" s="6" t="n">
        <v>46171</v>
      </c>
      <c r="T71" s="10" t="str">
        <f aca="false">IF(S71&lt;Assumptions!$B$4,"Expired",IF(S71-Assumptions!$B$4&lt;=Assumptions!$B$6,"Expiring soon","Valid"))</f>
        <v>Expired</v>
      </c>
      <c r="U71" s="6" t="n">
        <v>46006</v>
      </c>
      <c r="V71" s="10" t="str">
        <f aca="false">IF(Assumptions!$B$4-U71&gt;Assumptions!$B$7,"Overdue","OK")</f>
        <v>OK</v>
      </c>
    </row>
    <row r="72" customFormat="false" ht="15" hidden="false" customHeight="false" outlineLevel="0" collapsed="false">
      <c r="A72" s="11" t="s">
        <v>217</v>
      </c>
      <c r="B72" s="12" t="s">
        <v>36</v>
      </c>
      <c r="C72" s="12" t="s">
        <v>37</v>
      </c>
      <c r="D72" s="12" t="s">
        <v>38</v>
      </c>
      <c r="E72" s="12" t="s">
        <v>218</v>
      </c>
      <c r="F72" s="13" t="n">
        <v>45075</v>
      </c>
      <c r="G72" s="12" t="s">
        <v>29</v>
      </c>
      <c r="H72" s="14" t="n">
        <v>320</v>
      </c>
      <c r="I72" s="11" t="n">
        <v>5</v>
      </c>
      <c r="J72" s="15" t="n">
        <f aca="false">ROUND(MIN(H72,H72/I72*(Assumptions!$B$4-F72)/365.25),2)</f>
        <v>214.65</v>
      </c>
      <c r="K72" s="15" t="n">
        <f aca="false">H72-J72</f>
        <v>105.35</v>
      </c>
      <c r="L72" s="11" t="s">
        <v>216</v>
      </c>
      <c r="M72" s="11" t="s">
        <v>31</v>
      </c>
      <c r="N72" s="16" t="str">
        <f aca="false">IF(L72="","— (unassigned)",INDEX('Employee Lookup'!$B$5:$B$24,MATCH(L72,'Employee Lookup'!$A$5:$A$24,0)))</f>
        <v>Jack Stewart</v>
      </c>
      <c r="O72" s="16" t="str">
        <f aca="false">IF(L72="","—",INDEX('Employee Lookup'!$C$5:$C$24,MATCH(L72,'Employee Lookup'!$A$5:$A$24,0)))</f>
        <v>Technology</v>
      </c>
      <c r="P72" s="12" t="s">
        <v>32</v>
      </c>
      <c r="Q72" s="11" t="s">
        <v>33</v>
      </c>
      <c r="R72" s="11" t="s">
        <v>34</v>
      </c>
      <c r="S72" s="13" t="n">
        <v>46171</v>
      </c>
      <c r="T72" s="17" t="str">
        <f aca="false">IF(S72&lt;Assumptions!$B$4,"Expired",IF(S72-Assumptions!$B$4&lt;=Assumptions!$B$6,"Expiring soon","Valid"))</f>
        <v>Expired</v>
      </c>
      <c r="U72" s="13" t="n">
        <v>46203</v>
      </c>
      <c r="V72" s="17" t="str">
        <f aca="false">IF(Assumptions!$B$4-U72&gt;Assumptions!$B$7,"Overdue","OK")</f>
        <v>OK</v>
      </c>
    </row>
    <row r="73" customFormat="false" ht="15" hidden="false" customHeight="false" outlineLevel="0" collapsed="false">
      <c r="A73" s="4" t="s">
        <v>219</v>
      </c>
      <c r="B73" s="5" t="s">
        <v>71</v>
      </c>
      <c r="C73" s="5" t="s">
        <v>72</v>
      </c>
      <c r="D73" s="5" t="s">
        <v>73</v>
      </c>
      <c r="E73" s="5" t="s">
        <v>220</v>
      </c>
      <c r="F73" s="6" t="n">
        <v>45075</v>
      </c>
      <c r="G73" s="5" t="s">
        <v>29</v>
      </c>
      <c r="H73" s="7" t="n">
        <v>240</v>
      </c>
      <c r="I73" s="4" t="n">
        <v>5</v>
      </c>
      <c r="J73" s="8" t="n">
        <f aca="false">ROUND(MIN(H73,H73/I73*(Assumptions!$B$4-F73)/365.25),2)</f>
        <v>160.99</v>
      </c>
      <c r="K73" s="8" t="n">
        <f aca="false">H73-J73</f>
        <v>79.01</v>
      </c>
      <c r="L73" s="4" t="s">
        <v>216</v>
      </c>
      <c r="M73" s="4" t="s">
        <v>31</v>
      </c>
      <c r="N73" s="9" t="str">
        <f aca="false">IF(L73="","— (unassigned)",INDEX('Employee Lookup'!$B$5:$B$24,MATCH(L73,'Employee Lookup'!$A$5:$A$24,0)))</f>
        <v>Jack Stewart</v>
      </c>
      <c r="O73" s="9" t="str">
        <f aca="false">IF(L73="","—",INDEX('Employee Lookup'!$C$5:$C$24,MATCH(L73,'Employee Lookup'!$A$5:$A$24,0)))</f>
        <v>Technology</v>
      </c>
      <c r="P73" s="5" t="s">
        <v>32</v>
      </c>
      <c r="Q73" s="4" t="s">
        <v>33</v>
      </c>
      <c r="R73" s="4" t="s">
        <v>34</v>
      </c>
      <c r="S73" s="6" t="n">
        <v>46171</v>
      </c>
      <c r="T73" s="10" t="str">
        <f aca="false">IF(S73&lt;Assumptions!$B$4,"Expired",IF(S73-Assumptions!$B$4&lt;=Assumptions!$B$6,"Expiring soon","Valid"))</f>
        <v>Expired</v>
      </c>
      <c r="U73" s="6" t="n">
        <v>46203</v>
      </c>
      <c r="V73" s="10" t="str">
        <f aca="false">IF(Assumptions!$B$4-U73&gt;Assumptions!$B$7,"Overdue","OK")</f>
        <v>OK</v>
      </c>
    </row>
    <row r="74" customFormat="false" ht="15" hidden="false" customHeight="false" outlineLevel="0" collapsed="false">
      <c r="A74" s="11" t="s">
        <v>221</v>
      </c>
      <c r="B74" s="12" t="s">
        <v>48</v>
      </c>
      <c r="C74" s="12" t="s">
        <v>49</v>
      </c>
      <c r="D74" s="12" t="s">
        <v>50</v>
      </c>
      <c r="E74" s="12" t="s">
        <v>222</v>
      </c>
      <c r="F74" s="13" t="n">
        <v>45068</v>
      </c>
      <c r="G74" s="12" t="s">
        <v>52</v>
      </c>
      <c r="H74" s="14" t="n">
        <v>650</v>
      </c>
      <c r="I74" s="11" t="n">
        <v>8</v>
      </c>
      <c r="J74" s="15" t="n">
        <f aca="false">ROUND(MIN(H74,H74/I74*(Assumptions!$B$4-F74)/365.25),2)</f>
        <v>274.06</v>
      </c>
      <c r="K74" s="15" t="n">
        <f aca="false">H74-J74</f>
        <v>375.94</v>
      </c>
      <c r="L74" s="11" t="s">
        <v>216</v>
      </c>
      <c r="M74" s="11" t="s">
        <v>31</v>
      </c>
      <c r="N74" s="16" t="str">
        <f aca="false">IF(L74="","— (unassigned)",INDEX('Employee Lookup'!$B$5:$B$24,MATCH(L74,'Employee Lookup'!$A$5:$A$24,0)))</f>
        <v>Jack Stewart</v>
      </c>
      <c r="O74" s="16" t="str">
        <f aca="false">IF(L74="","—",INDEX('Employee Lookup'!$C$5:$C$24,MATCH(L74,'Employee Lookup'!$A$5:$A$24,0)))</f>
        <v>Technology</v>
      </c>
      <c r="P74" s="12" t="s">
        <v>32</v>
      </c>
      <c r="Q74" s="11" t="s">
        <v>46</v>
      </c>
      <c r="R74" s="11" t="s">
        <v>34</v>
      </c>
      <c r="S74" s="13" t="n">
        <v>46895</v>
      </c>
      <c r="T74" s="17" t="str">
        <f aca="false">IF(S74&lt;Assumptions!$B$4,"Expired",IF(S74-Assumptions!$B$4&lt;=Assumptions!$B$6,"Expiring soon","Valid"))</f>
        <v>Valid</v>
      </c>
      <c r="U74" s="13" t="n">
        <v>46203</v>
      </c>
      <c r="V74" s="17" t="str">
        <f aca="false">IF(Assumptions!$B$4-U74&gt;Assumptions!$B$7,"Overdue","OK")</f>
        <v>OK</v>
      </c>
    </row>
    <row r="75" customFormat="false" ht="15" hidden="false" customHeight="false" outlineLevel="0" collapsed="false">
      <c r="A75" s="4" t="s">
        <v>223</v>
      </c>
      <c r="B75" s="5" t="s">
        <v>25</v>
      </c>
      <c r="C75" s="5" t="s">
        <v>54</v>
      </c>
      <c r="D75" s="5" t="s">
        <v>54</v>
      </c>
      <c r="E75" s="5" t="s">
        <v>224</v>
      </c>
      <c r="F75" s="6" t="n">
        <v>45327</v>
      </c>
      <c r="G75" s="5" t="s">
        <v>56</v>
      </c>
      <c r="H75" s="7" t="n">
        <v>1350</v>
      </c>
      <c r="I75" s="4" t="n">
        <v>4</v>
      </c>
      <c r="J75" s="8" t="n">
        <f aca="false">ROUND(MIN(H75,H75/I75*(Assumptions!$B$4-F75)/365.25),2)</f>
        <v>899.08</v>
      </c>
      <c r="K75" s="8" t="n">
        <f aca="false">H75-J75</f>
        <v>450.92</v>
      </c>
      <c r="L75" s="4" t="s">
        <v>225</v>
      </c>
      <c r="M75" s="4" t="s">
        <v>31</v>
      </c>
      <c r="N75" s="9" t="str">
        <f aca="false">IF(L75="","— (unassigned)",INDEX('Employee Lookup'!$B$5:$B$24,MATCH(L75,'Employee Lookup'!$A$5:$A$24,0)))</f>
        <v>Ella Morgan</v>
      </c>
      <c r="O75" s="9" t="str">
        <f aca="false">IF(L75="","—",INDEX('Employee Lookup'!$C$5:$C$24,MATCH(L75,'Employee Lookup'!$A$5:$A$24,0)))</f>
        <v>Marketing</v>
      </c>
      <c r="P75" s="5" t="s">
        <v>111</v>
      </c>
      <c r="Q75" s="4" t="s">
        <v>46</v>
      </c>
      <c r="R75" s="4" t="s">
        <v>34</v>
      </c>
      <c r="S75" s="6" t="n">
        <v>46423</v>
      </c>
      <c r="T75" s="10" t="str">
        <f aca="false">IF(S75&lt;Assumptions!$B$4,"Expired",IF(S75-Assumptions!$B$4&lt;=Assumptions!$B$6,"Expiring soon","Valid"))</f>
        <v>Valid</v>
      </c>
      <c r="U75" s="6" t="n">
        <v>46203</v>
      </c>
      <c r="V75" s="10" t="str">
        <f aca="false">IF(Assumptions!$B$4-U75&gt;Assumptions!$B$7,"Overdue","OK")</f>
        <v>OK</v>
      </c>
    </row>
    <row r="76" customFormat="false" ht="15" hidden="false" customHeight="false" outlineLevel="0" collapsed="false">
      <c r="A76" s="11" t="s">
        <v>226</v>
      </c>
      <c r="B76" s="12" t="s">
        <v>36</v>
      </c>
      <c r="C76" s="12" t="s">
        <v>37</v>
      </c>
      <c r="D76" s="12" t="s">
        <v>38</v>
      </c>
      <c r="E76" s="12" t="s">
        <v>227</v>
      </c>
      <c r="F76" s="13" t="n">
        <v>45327</v>
      </c>
      <c r="G76" s="12" t="s">
        <v>29</v>
      </c>
      <c r="H76" s="14" t="n">
        <v>320</v>
      </c>
      <c r="I76" s="11" t="n">
        <v>5</v>
      </c>
      <c r="J76" s="15" t="n">
        <f aca="false">ROUND(MIN(H76,H76/I76*(Assumptions!$B$4-F76)/365.25),2)</f>
        <v>170.49</v>
      </c>
      <c r="K76" s="15" t="n">
        <f aca="false">H76-J76</f>
        <v>149.51</v>
      </c>
      <c r="L76" s="11" t="s">
        <v>225</v>
      </c>
      <c r="M76" s="11" t="s">
        <v>31</v>
      </c>
      <c r="N76" s="16" t="str">
        <f aca="false">IF(L76="","— (unassigned)",INDEX('Employee Lookup'!$B$5:$B$24,MATCH(L76,'Employee Lookup'!$A$5:$A$24,0)))</f>
        <v>Ella Morgan</v>
      </c>
      <c r="O76" s="16" t="str">
        <f aca="false">IF(L76="","—",INDEX('Employee Lookup'!$C$5:$C$24,MATCH(L76,'Employee Lookup'!$A$5:$A$24,0)))</f>
        <v>Marketing</v>
      </c>
      <c r="P76" s="12" t="s">
        <v>111</v>
      </c>
      <c r="Q76" s="11" t="s">
        <v>46</v>
      </c>
      <c r="R76" s="11" t="s">
        <v>34</v>
      </c>
      <c r="S76" s="13" t="n">
        <v>46423</v>
      </c>
      <c r="T76" s="17" t="str">
        <f aca="false">IF(S76&lt;Assumptions!$B$4,"Expired",IF(S76-Assumptions!$B$4&lt;=Assumptions!$B$6,"Expiring soon","Valid"))</f>
        <v>Valid</v>
      </c>
      <c r="U76" s="13" t="n">
        <v>46203</v>
      </c>
      <c r="V76" s="17" t="str">
        <f aca="false">IF(Assumptions!$B$4-U76&gt;Assumptions!$B$7,"Overdue","OK")</f>
        <v>OK</v>
      </c>
    </row>
    <row r="77" customFormat="false" ht="15" hidden="false" customHeight="false" outlineLevel="0" collapsed="false">
      <c r="A77" s="4" t="s">
        <v>228</v>
      </c>
      <c r="B77" s="5" t="s">
        <v>117</v>
      </c>
      <c r="C77" s="5" t="s">
        <v>118</v>
      </c>
      <c r="D77" s="5" t="s">
        <v>119</v>
      </c>
      <c r="E77" s="5" t="s">
        <v>229</v>
      </c>
      <c r="F77" s="6" t="n">
        <v>45327</v>
      </c>
      <c r="G77" s="5" t="s">
        <v>121</v>
      </c>
      <c r="H77" s="7" t="n">
        <v>180</v>
      </c>
      <c r="I77" s="4" t="n">
        <v>3</v>
      </c>
      <c r="J77" s="8" t="n">
        <f aca="false">ROUND(MIN(H77,H77/I77*(Assumptions!$B$4-F77)/365.25),2)</f>
        <v>159.84</v>
      </c>
      <c r="K77" s="8" t="n">
        <f aca="false">H77-J77</f>
        <v>20.16</v>
      </c>
      <c r="L77" s="4" t="s">
        <v>225</v>
      </c>
      <c r="M77" s="4" t="s">
        <v>31</v>
      </c>
      <c r="N77" s="9" t="str">
        <f aca="false">IF(L77="","— (unassigned)",INDEX('Employee Lookup'!$B$5:$B$24,MATCH(L77,'Employee Lookup'!$A$5:$A$24,0)))</f>
        <v>Ella Morgan</v>
      </c>
      <c r="O77" s="9" t="str">
        <f aca="false">IF(L77="","—",INDEX('Employee Lookup'!$C$5:$C$24,MATCH(L77,'Employee Lookup'!$A$5:$A$24,0)))</f>
        <v>Marketing</v>
      </c>
      <c r="P77" s="5" t="s">
        <v>111</v>
      </c>
      <c r="Q77" s="4" t="s">
        <v>46</v>
      </c>
      <c r="R77" s="4" t="s">
        <v>34</v>
      </c>
      <c r="S77" s="6" t="n">
        <v>46058</v>
      </c>
      <c r="T77" s="10" t="str">
        <f aca="false">IF(S77&lt;Assumptions!$B$4,"Expired",IF(S77-Assumptions!$B$4&lt;=Assumptions!$B$6,"Expiring soon","Valid"))</f>
        <v>Expired</v>
      </c>
      <c r="U77" s="6" t="n">
        <v>46203</v>
      </c>
      <c r="V77" s="10" t="str">
        <f aca="false">IF(Assumptions!$B$4-U77&gt;Assumptions!$B$7,"Overdue","OK")</f>
        <v>OK</v>
      </c>
    </row>
    <row r="78" customFormat="false" ht="15" hidden="false" customHeight="false" outlineLevel="0" collapsed="false">
      <c r="A78" s="11" t="s">
        <v>230</v>
      </c>
      <c r="B78" s="12" t="s">
        <v>48</v>
      </c>
      <c r="C78" s="12" t="s">
        <v>123</v>
      </c>
      <c r="D78" s="12" t="s">
        <v>124</v>
      </c>
      <c r="E78" s="12" t="s">
        <v>231</v>
      </c>
      <c r="F78" s="13" t="n">
        <v>45327</v>
      </c>
      <c r="G78" s="12" t="s">
        <v>52</v>
      </c>
      <c r="H78" s="14" t="n">
        <v>300</v>
      </c>
      <c r="I78" s="11" t="n">
        <v>8</v>
      </c>
      <c r="J78" s="15" t="n">
        <f aca="false">ROUND(MIN(H78,H78/I78*(Assumptions!$B$4-F78)/365.25),2)</f>
        <v>99.9</v>
      </c>
      <c r="K78" s="15" t="n">
        <f aca="false">H78-J78</f>
        <v>200.1</v>
      </c>
      <c r="L78" s="11" t="s">
        <v>225</v>
      </c>
      <c r="M78" s="11" t="s">
        <v>31</v>
      </c>
      <c r="N78" s="16" t="str">
        <f aca="false">IF(L78="","— (unassigned)",INDEX('Employee Lookup'!$B$5:$B$24,MATCH(L78,'Employee Lookup'!$A$5:$A$24,0)))</f>
        <v>Ella Morgan</v>
      </c>
      <c r="O78" s="16" t="str">
        <f aca="false">IF(L78="","—",INDEX('Employee Lookup'!$C$5:$C$24,MATCH(L78,'Employee Lookup'!$A$5:$A$24,0)))</f>
        <v>Marketing</v>
      </c>
      <c r="P78" s="12" t="s">
        <v>111</v>
      </c>
      <c r="Q78" s="11" t="s">
        <v>46</v>
      </c>
      <c r="R78" s="11" t="s">
        <v>34</v>
      </c>
      <c r="S78" s="13" t="n">
        <v>47154</v>
      </c>
      <c r="T78" s="17" t="str">
        <f aca="false">IF(S78&lt;Assumptions!$B$4,"Expired",IF(S78-Assumptions!$B$4&lt;=Assumptions!$B$6,"Expiring soon","Valid"))</f>
        <v>Valid</v>
      </c>
      <c r="U78" s="13" t="n">
        <v>46203</v>
      </c>
      <c r="V78" s="17" t="str">
        <f aca="false">IF(Assumptions!$B$4-U78&gt;Assumptions!$B$7,"Overdue","OK")</f>
        <v>OK</v>
      </c>
    </row>
    <row r="79" customFormat="false" ht="15" hidden="false" customHeight="false" outlineLevel="0" collapsed="false">
      <c r="A79" s="4" t="s">
        <v>232</v>
      </c>
      <c r="B79" s="5" t="s">
        <v>25</v>
      </c>
      <c r="C79" s="5" t="s">
        <v>233</v>
      </c>
      <c r="D79" s="5" t="s">
        <v>54</v>
      </c>
      <c r="E79" s="5" t="s">
        <v>234</v>
      </c>
      <c r="F79" s="6" t="n">
        <v>45902</v>
      </c>
      <c r="G79" s="5" t="s">
        <v>56</v>
      </c>
      <c r="H79" s="7" t="n">
        <v>1350</v>
      </c>
      <c r="I79" s="4" t="n">
        <v>4</v>
      </c>
      <c r="J79" s="8" t="n">
        <f aca="false">ROUND(MIN(H79,H79/I79*(Assumptions!$B$4-F79)/365.25),2)</f>
        <v>367.76</v>
      </c>
      <c r="K79" s="8" t="n">
        <f aca="false">H79-J79</f>
        <v>982.24</v>
      </c>
      <c r="L79" s="4" t="s">
        <v>90</v>
      </c>
      <c r="M79" s="4" t="s">
        <v>31</v>
      </c>
      <c r="N79" s="9" t="str">
        <f aca="false">IF(L79="","— (unassigned)",INDEX('Employee Lookup'!$B$5:$B$24,MATCH(L79,'Employee Lookup'!$A$5:$A$24,0)))</f>
        <v>Ethan Brooks</v>
      </c>
      <c r="O79" s="9" t="str">
        <f aca="false">IF(L79="","—",INDEX('Employee Lookup'!$C$5:$C$24,MATCH(L79,'Employee Lookup'!$A$5:$A$24,0)))</f>
        <v>Technology</v>
      </c>
      <c r="P79" s="5" t="s">
        <v>32</v>
      </c>
      <c r="Q79" s="4" t="s">
        <v>46</v>
      </c>
      <c r="R79" s="4" t="s">
        <v>34</v>
      </c>
      <c r="S79" s="6" t="n">
        <v>46998</v>
      </c>
      <c r="T79" s="10" t="str">
        <f aca="false">IF(S79&lt;Assumptions!$B$4,"Expired",IF(S79-Assumptions!$B$4&lt;=Assumptions!$B$6,"Expiring soon","Valid"))</f>
        <v>Valid</v>
      </c>
      <c r="U79" s="6" t="n">
        <v>46203</v>
      </c>
      <c r="V79" s="10" t="str">
        <f aca="false">IF(Assumptions!$B$4-U79&gt;Assumptions!$B$7,"Overdue","OK")</f>
        <v>OK</v>
      </c>
    </row>
    <row r="80" customFormat="false" ht="15" hidden="false" customHeight="false" outlineLevel="0" collapsed="false">
      <c r="A80" s="11" t="s">
        <v>235</v>
      </c>
      <c r="B80" s="12" t="s">
        <v>236</v>
      </c>
      <c r="C80" s="12" t="s">
        <v>237</v>
      </c>
      <c r="D80" s="12" t="s">
        <v>238</v>
      </c>
      <c r="E80" s="12" t="s">
        <v>239</v>
      </c>
      <c r="F80" s="13" t="n">
        <v>44697</v>
      </c>
      <c r="G80" s="12" t="s">
        <v>29</v>
      </c>
      <c r="H80" s="14" t="n">
        <v>8500</v>
      </c>
      <c r="I80" s="11" t="n">
        <v>5</v>
      </c>
      <c r="J80" s="15" t="n">
        <f aca="false">ROUND(MIN(H80,H80/I80*(Assumptions!$B$4-F80)/365.25),2)</f>
        <v>7460.92</v>
      </c>
      <c r="K80" s="15" t="n">
        <f aca="false">H80-J80</f>
        <v>1039.08</v>
      </c>
      <c r="L80" s="11" t="s">
        <v>67</v>
      </c>
      <c r="M80" s="11" t="s">
        <v>240</v>
      </c>
      <c r="N80" s="16" t="str">
        <f aca="false">IF(L80="","— (unassigned)",INDEX('Employee Lookup'!$B$5:$B$24,MATCH(L80,'Employee Lookup'!$A$5:$A$24,0)))</f>
        <v>Marcus Reed</v>
      </c>
      <c r="O80" s="16" t="str">
        <f aca="false">IF(L80="","—",INDEX('Employee Lookup'!$C$5:$C$24,MATCH(L80,'Employee Lookup'!$A$5:$A$24,0)))</f>
        <v>Technology</v>
      </c>
      <c r="P80" s="12" t="s">
        <v>241</v>
      </c>
      <c r="Q80" s="11" t="s">
        <v>46</v>
      </c>
      <c r="R80" s="11" t="s">
        <v>34</v>
      </c>
      <c r="S80" s="13" t="n">
        <v>45793</v>
      </c>
      <c r="T80" s="17" t="str">
        <f aca="false">IF(S80&lt;Assumptions!$B$4,"Expired",IF(S80-Assumptions!$B$4&lt;=Assumptions!$B$6,"Expiring soon","Valid"))</f>
        <v>Expired</v>
      </c>
      <c r="U80" s="13" t="n">
        <v>46203</v>
      </c>
      <c r="V80" s="17" t="str">
        <f aca="false">IF(Assumptions!$B$4-U80&gt;Assumptions!$B$7,"Overdue","OK")</f>
        <v>OK</v>
      </c>
    </row>
    <row r="81" customFormat="false" ht="15" hidden="false" customHeight="false" outlineLevel="0" collapsed="false">
      <c r="A81" s="4" t="s">
        <v>242</v>
      </c>
      <c r="B81" s="5" t="s">
        <v>236</v>
      </c>
      <c r="C81" s="5" t="s">
        <v>243</v>
      </c>
      <c r="D81" s="5" t="s">
        <v>244</v>
      </c>
      <c r="E81" s="5" t="s">
        <v>245</v>
      </c>
      <c r="F81" s="6" t="n">
        <v>44697</v>
      </c>
      <c r="G81" s="5" t="s">
        <v>246</v>
      </c>
      <c r="H81" s="7" t="n">
        <v>3200</v>
      </c>
      <c r="I81" s="4" t="n">
        <v>5</v>
      </c>
      <c r="J81" s="8" t="n">
        <f aca="false">ROUND(MIN(H81,H81/I81*(Assumptions!$B$4-F81)/365.25),2)</f>
        <v>2808.82</v>
      </c>
      <c r="K81" s="8" t="n">
        <f aca="false">H81-J81</f>
        <v>391.18</v>
      </c>
      <c r="L81" s="4" t="s">
        <v>216</v>
      </c>
      <c r="M81" s="4" t="s">
        <v>240</v>
      </c>
      <c r="N81" s="9" t="str">
        <f aca="false">IF(L81="","— (unassigned)",INDEX('Employee Lookup'!$B$5:$B$24,MATCH(L81,'Employee Lookup'!$A$5:$A$24,0)))</f>
        <v>Jack Stewart</v>
      </c>
      <c r="O81" s="9" t="str">
        <f aca="false">IF(L81="","—",INDEX('Employee Lookup'!$C$5:$C$24,MATCH(L81,'Employee Lookup'!$A$5:$A$24,0)))</f>
        <v>Technology</v>
      </c>
      <c r="P81" s="5" t="s">
        <v>241</v>
      </c>
      <c r="Q81" s="4" t="s">
        <v>46</v>
      </c>
      <c r="R81" s="4" t="s">
        <v>34</v>
      </c>
      <c r="S81" s="6" t="n">
        <v>45793</v>
      </c>
      <c r="T81" s="10" t="str">
        <f aca="false">IF(S81&lt;Assumptions!$B$4,"Expired",IF(S81-Assumptions!$B$4&lt;=Assumptions!$B$6,"Expiring soon","Valid"))</f>
        <v>Expired</v>
      </c>
      <c r="U81" s="6" t="n">
        <v>46203</v>
      </c>
      <c r="V81" s="10" t="str">
        <f aca="false">IF(Assumptions!$B$4-U81&gt;Assumptions!$B$7,"Overdue","OK")</f>
        <v>OK</v>
      </c>
    </row>
    <row r="82" customFormat="false" ht="15" hidden="false" customHeight="false" outlineLevel="0" collapsed="false">
      <c r="A82" s="11" t="s">
        <v>247</v>
      </c>
      <c r="B82" s="12" t="s">
        <v>236</v>
      </c>
      <c r="C82" s="12" t="s">
        <v>248</v>
      </c>
      <c r="D82" s="12" t="s">
        <v>249</v>
      </c>
      <c r="E82" s="12" t="s">
        <v>250</v>
      </c>
      <c r="F82" s="13" t="n">
        <v>44697</v>
      </c>
      <c r="G82" s="12" t="s">
        <v>246</v>
      </c>
      <c r="H82" s="14" t="n">
        <v>2900</v>
      </c>
      <c r="I82" s="11" t="n">
        <v>5</v>
      </c>
      <c r="J82" s="15" t="n">
        <f aca="false">ROUND(MIN(H82,H82/I82*(Assumptions!$B$4-F82)/365.25),2)</f>
        <v>2545.49</v>
      </c>
      <c r="K82" s="15" t="n">
        <f aca="false">H82-J82</f>
        <v>354.51</v>
      </c>
      <c r="L82" s="11" t="s">
        <v>216</v>
      </c>
      <c r="M82" s="11" t="s">
        <v>240</v>
      </c>
      <c r="N82" s="16" t="str">
        <f aca="false">IF(L82="","— (unassigned)",INDEX('Employee Lookup'!$B$5:$B$24,MATCH(L82,'Employee Lookup'!$A$5:$A$24,0)))</f>
        <v>Jack Stewart</v>
      </c>
      <c r="O82" s="16" t="str">
        <f aca="false">IF(L82="","—",INDEX('Employee Lookup'!$C$5:$C$24,MATCH(L82,'Employee Lookup'!$A$5:$A$24,0)))</f>
        <v>Technology</v>
      </c>
      <c r="P82" s="12" t="s">
        <v>241</v>
      </c>
      <c r="Q82" s="11" t="s">
        <v>46</v>
      </c>
      <c r="R82" s="11" t="s">
        <v>34</v>
      </c>
      <c r="S82" s="13" t="n">
        <v>45793</v>
      </c>
      <c r="T82" s="17" t="str">
        <f aca="false">IF(S82&lt;Assumptions!$B$4,"Expired",IF(S82-Assumptions!$B$4&lt;=Assumptions!$B$6,"Expiring soon","Valid"))</f>
        <v>Expired</v>
      </c>
      <c r="U82" s="13" t="n">
        <v>46006</v>
      </c>
      <c r="V82" s="17" t="str">
        <f aca="false">IF(Assumptions!$B$4-U82&gt;Assumptions!$B$7,"Overdue","OK")</f>
        <v>OK</v>
      </c>
    </row>
    <row r="83" customFormat="false" ht="15" hidden="false" customHeight="false" outlineLevel="0" collapsed="false">
      <c r="A83" s="4" t="s">
        <v>251</v>
      </c>
      <c r="B83" s="5" t="s">
        <v>236</v>
      </c>
      <c r="C83" s="5" t="s">
        <v>252</v>
      </c>
      <c r="D83" s="5" t="s">
        <v>253</v>
      </c>
      <c r="E83" s="5" t="s">
        <v>254</v>
      </c>
      <c r="F83" s="6" t="n">
        <v>44699</v>
      </c>
      <c r="G83" s="5" t="s">
        <v>246</v>
      </c>
      <c r="H83" s="7" t="n">
        <v>1450</v>
      </c>
      <c r="I83" s="4" t="n">
        <v>6</v>
      </c>
      <c r="J83" s="8" t="n">
        <f aca="false">ROUND(MIN(H83,H83/I83*(Assumptions!$B$4-F83)/365.25),2)</f>
        <v>1059.3</v>
      </c>
      <c r="K83" s="8" t="n">
        <f aca="false">H83-J83</f>
        <v>390.7</v>
      </c>
      <c r="L83" s="4" t="s">
        <v>216</v>
      </c>
      <c r="M83" s="4" t="s">
        <v>240</v>
      </c>
      <c r="N83" s="9" t="str">
        <f aca="false">IF(L83="","— (unassigned)",INDEX('Employee Lookup'!$B$5:$B$24,MATCH(L83,'Employee Lookup'!$A$5:$A$24,0)))</f>
        <v>Jack Stewart</v>
      </c>
      <c r="O83" s="9" t="str">
        <f aca="false">IF(L83="","—",INDEX('Employee Lookup'!$C$5:$C$24,MATCH(L83,'Employee Lookup'!$A$5:$A$24,0)))</f>
        <v>Technology</v>
      </c>
      <c r="P83" s="5" t="s">
        <v>241</v>
      </c>
      <c r="Q83" s="4" t="s">
        <v>46</v>
      </c>
      <c r="R83" s="4" t="s">
        <v>34</v>
      </c>
      <c r="S83" s="6" t="n">
        <v>45795</v>
      </c>
      <c r="T83" s="10" t="str">
        <f aca="false">IF(S83&lt;Assumptions!$B$4,"Expired",IF(S83-Assumptions!$B$4&lt;=Assumptions!$B$6,"Expiring soon","Valid"))</f>
        <v>Expired</v>
      </c>
      <c r="U83" s="6" t="n">
        <v>46203</v>
      </c>
      <c r="V83" s="10" t="str">
        <f aca="false">IF(Assumptions!$B$4-U83&gt;Assumptions!$B$7,"Overdue","OK")</f>
        <v>OK</v>
      </c>
    </row>
    <row r="84" customFormat="false" ht="15" hidden="false" customHeight="false" outlineLevel="0" collapsed="false">
      <c r="A84" s="11" t="s">
        <v>255</v>
      </c>
      <c r="B84" s="12" t="s">
        <v>236</v>
      </c>
      <c r="C84" s="12" t="s">
        <v>256</v>
      </c>
      <c r="D84" s="12" t="s">
        <v>257</v>
      </c>
      <c r="E84" s="12" t="s">
        <v>258</v>
      </c>
      <c r="F84" s="13" t="n">
        <v>44963</v>
      </c>
      <c r="G84" s="12" t="s">
        <v>246</v>
      </c>
      <c r="H84" s="14" t="n">
        <v>190</v>
      </c>
      <c r="I84" s="11" t="n">
        <v>5</v>
      </c>
      <c r="J84" s="15" t="n">
        <f aca="false">ROUND(MIN(H84,H84/I84*(Assumptions!$B$4-F84)/365.25),2)</f>
        <v>139.1</v>
      </c>
      <c r="K84" s="15" t="n">
        <f aca="false">H84-J84</f>
        <v>50.9</v>
      </c>
      <c r="L84" s="11" t="s">
        <v>216</v>
      </c>
      <c r="M84" s="11" t="s">
        <v>240</v>
      </c>
      <c r="N84" s="16" t="str">
        <f aca="false">IF(L84="","— (unassigned)",INDEX('Employee Lookup'!$B$5:$B$24,MATCH(L84,'Employee Lookup'!$A$5:$A$24,0)))</f>
        <v>Jack Stewart</v>
      </c>
      <c r="O84" s="16" t="str">
        <f aca="false">IF(L84="","—",INDEX('Employee Lookup'!$C$5:$C$24,MATCH(L84,'Employee Lookup'!$A$5:$A$24,0)))</f>
        <v>Technology</v>
      </c>
      <c r="P84" s="12" t="s">
        <v>259</v>
      </c>
      <c r="Q84" s="11" t="s">
        <v>46</v>
      </c>
      <c r="R84" s="11" t="s">
        <v>34</v>
      </c>
      <c r="S84" s="13" t="n">
        <v>45694</v>
      </c>
      <c r="T84" s="17" t="str">
        <f aca="false">IF(S84&lt;Assumptions!$B$4,"Expired",IF(S84-Assumptions!$B$4&lt;=Assumptions!$B$6,"Expiring soon","Valid"))</f>
        <v>Expired</v>
      </c>
      <c r="U84" s="13" t="n">
        <v>46203</v>
      </c>
      <c r="V84" s="17" t="str">
        <f aca="false">IF(Assumptions!$B$4-U84&gt;Assumptions!$B$7,"Overdue","OK")</f>
        <v>OK</v>
      </c>
    </row>
    <row r="85" customFormat="false" ht="15" hidden="false" customHeight="false" outlineLevel="0" collapsed="false">
      <c r="A85" s="4" t="s">
        <v>260</v>
      </c>
      <c r="B85" s="5" t="s">
        <v>236</v>
      </c>
      <c r="C85" s="5" t="s">
        <v>256</v>
      </c>
      <c r="D85" s="5" t="s">
        <v>257</v>
      </c>
      <c r="E85" s="5" t="s">
        <v>261</v>
      </c>
      <c r="F85" s="6" t="n">
        <v>44963</v>
      </c>
      <c r="G85" s="5" t="s">
        <v>246</v>
      </c>
      <c r="H85" s="7" t="n">
        <v>190</v>
      </c>
      <c r="I85" s="4" t="n">
        <v>5</v>
      </c>
      <c r="J85" s="8" t="n">
        <f aca="false">ROUND(MIN(H85,H85/I85*(Assumptions!$B$4-F85)/365.25),2)</f>
        <v>139.1</v>
      </c>
      <c r="K85" s="8" t="n">
        <f aca="false">H85-J85</f>
        <v>50.9</v>
      </c>
      <c r="L85" s="4" t="s">
        <v>216</v>
      </c>
      <c r="M85" s="4" t="s">
        <v>240</v>
      </c>
      <c r="N85" s="9" t="str">
        <f aca="false">IF(L85="","— (unassigned)",INDEX('Employee Lookup'!$B$5:$B$24,MATCH(L85,'Employee Lookup'!$A$5:$A$24,0)))</f>
        <v>Jack Stewart</v>
      </c>
      <c r="O85" s="9" t="str">
        <f aca="false">IF(L85="","—",INDEX('Employee Lookup'!$C$5:$C$24,MATCH(L85,'Employee Lookup'!$A$5:$A$24,0)))</f>
        <v>Technology</v>
      </c>
      <c r="P85" s="5" t="s">
        <v>262</v>
      </c>
      <c r="Q85" s="4" t="s">
        <v>46</v>
      </c>
      <c r="R85" s="4" t="s">
        <v>34</v>
      </c>
      <c r="S85" s="6" t="n">
        <v>45694</v>
      </c>
      <c r="T85" s="10" t="str">
        <f aca="false">IF(S85&lt;Assumptions!$B$4,"Expired",IF(S85-Assumptions!$B$4&lt;=Assumptions!$B$6,"Expiring soon","Valid"))</f>
        <v>Expired</v>
      </c>
      <c r="U85" s="6" t="n">
        <v>46203</v>
      </c>
      <c r="V85" s="10" t="str">
        <f aca="false">IF(Assumptions!$B$4-U85&gt;Assumptions!$B$7,"Overdue","OK")</f>
        <v>OK</v>
      </c>
    </row>
    <row r="86" customFormat="false" ht="15" hidden="false" customHeight="false" outlineLevel="0" collapsed="false">
      <c r="A86" s="11" t="s">
        <v>263</v>
      </c>
      <c r="B86" s="12" t="s">
        <v>236</v>
      </c>
      <c r="C86" s="12" t="s">
        <v>264</v>
      </c>
      <c r="D86" s="12" t="s">
        <v>265</v>
      </c>
      <c r="E86" s="12" t="s">
        <v>266</v>
      </c>
      <c r="F86" s="13" t="n">
        <v>44946</v>
      </c>
      <c r="G86" s="12" t="s">
        <v>246</v>
      </c>
      <c r="H86" s="14" t="n">
        <v>1100</v>
      </c>
      <c r="I86" s="11" t="n">
        <v>5</v>
      </c>
      <c r="J86" s="15" t="n">
        <f aca="false">ROUND(MIN(H86,H86/I86*(Assumptions!$B$4-F86)/365.25),2)</f>
        <v>815.55</v>
      </c>
      <c r="K86" s="15" t="n">
        <f aca="false">H86-J86</f>
        <v>284.45</v>
      </c>
      <c r="L86" s="11" t="s">
        <v>216</v>
      </c>
      <c r="M86" s="11" t="s">
        <v>240</v>
      </c>
      <c r="N86" s="16" t="str">
        <f aca="false">IF(L86="","— (unassigned)",INDEX('Employee Lookup'!$B$5:$B$24,MATCH(L86,'Employee Lookup'!$A$5:$A$24,0)))</f>
        <v>Jack Stewart</v>
      </c>
      <c r="O86" s="16" t="str">
        <f aca="false">IF(L86="","—",INDEX('Employee Lookup'!$C$5:$C$24,MATCH(L86,'Employee Lookup'!$A$5:$A$24,0)))</f>
        <v>Technology</v>
      </c>
      <c r="P86" s="12" t="s">
        <v>149</v>
      </c>
      <c r="Q86" s="11" t="s">
        <v>46</v>
      </c>
      <c r="R86" s="11" t="s">
        <v>34</v>
      </c>
      <c r="S86" s="13" t="n">
        <v>46042</v>
      </c>
      <c r="T86" s="17" t="str">
        <f aca="false">IF(S86&lt;Assumptions!$B$4,"Expired",IF(S86-Assumptions!$B$4&lt;=Assumptions!$B$6,"Expiring soon","Valid"))</f>
        <v>Expired</v>
      </c>
      <c r="U86" s="13" t="n">
        <v>46203</v>
      </c>
      <c r="V86" s="17" t="str">
        <f aca="false">IF(Assumptions!$B$4-U86&gt;Assumptions!$B$7,"Overdue","OK")</f>
        <v>OK</v>
      </c>
    </row>
    <row r="87" customFormat="false" ht="15" hidden="false" customHeight="false" outlineLevel="0" collapsed="false">
      <c r="A87" s="4" t="s">
        <v>267</v>
      </c>
      <c r="B87" s="5" t="s">
        <v>268</v>
      </c>
      <c r="C87" s="5" t="s">
        <v>269</v>
      </c>
      <c r="D87" s="5" t="s">
        <v>270</v>
      </c>
      <c r="E87" s="5" t="s">
        <v>271</v>
      </c>
      <c r="F87" s="6" t="n">
        <v>44999</v>
      </c>
      <c r="G87" s="5" t="s">
        <v>138</v>
      </c>
      <c r="H87" s="7" t="n">
        <v>620</v>
      </c>
      <c r="I87" s="4" t="n">
        <v>5</v>
      </c>
      <c r="J87" s="8" t="n">
        <f aca="false">ROUND(MIN(H87,H87/I87*(Assumptions!$B$4-F87)/365.25),2)</f>
        <v>441.68</v>
      </c>
      <c r="K87" s="8" t="n">
        <f aca="false">H87-J87</f>
        <v>178.32</v>
      </c>
      <c r="L87" s="4" t="s">
        <v>209</v>
      </c>
      <c r="M87" s="4" t="s">
        <v>240</v>
      </c>
      <c r="N87" s="9" t="str">
        <f aca="false">IF(L87="","— (unassigned)",INDEX('Employee Lookup'!$B$5:$B$24,MATCH(L87,'Employee Lookup'!$A$5:$A$24,0)))</f>
        <v>Harper Jenkins</v>
      </c>
      <c r="O87" s="9" t="str">
        <f aca="false">IF(L87="","—",INDEX('Employee Lookup'!$C$5:$C$24,MATCH(L87,'Employee Lookup'!$A$5:$A$24,0)))</f>
        <v>Operations</v>
      </c>
      <c r="P87" s="5" t="s">
        <v>272</v>
      </c>
      <c r="Q87" s="4" t="s">
        <v>46</v>
      </c>
      <c r="R87" s="4" t="s">
        <v>34</v>
      </c>
      <c r="S87" s="6" t="n">
        <v>45365</v>
      </c>
      <c r="T87" s="10" t="str">
        <f aca="false">IF(S87&lt;Assumptions!$B$4,"Expired",IF(S87-Assumptions!$B$4&lt;=Assumptions!$B$6,"Expiring soon","Valid"))</f>
        <v>Expired</v>
      </c>
      <c r="U87" s="6" t="n">
        <v>46203</v>
      </c>
      <c r="V87" s="10" t="str">
        <f aca="false">IF(Assumptions!$B$4-U87&gt;Assumptions!$B$7,"Overdue","OK")</f>
        <v>OK</v>
      </c>
    </row>
    <row r="88" customFormat="false" ht="15" hidden="false" customHeight="false" outlineLevel="0" collapsed="false">
      <c r="A88" s="11" t="s">
        <v>273</v>
      </c>
      <c r="B88" s="12" t="s">
        <v>268</v>
      </c>
      <c r="C88" s="12" t="s">
        <v>269</v>
      </c>
      <c r="D88" s="12" t="s">
        <v>274</v>
      </c>
      <c r="E88" s="12" t="s">
        <v>275</v>
      </c>
      <c r="F88" s="13" t="n">
        <v>45019</v>
      </c>
      <c r="G88" s="12" t="s">
        <v>276</v>
      </c>
      <c r="H88" s="14" t="n">
        <v>540</v>
      </c>
      <c r="I88" s="11" t="n">
        <v>5</v>
      </c>
      <c r="J88" s="15" t="n">
        <f aca="false">ROUND(MIN(H88,H88/I88*(Assumptions!$B$4-F88)/365.25),2)</f>
        <v>378.78</v>
      </c>
      <c r="K88" s="15" t="n">
        <f aca="false">H88-J88</f>
        <v>161.22</v>
      </c>
      <c r="L88" s="11" t="s">
        <v>209</v>
      </c>
      <c r="M88" s="11" t="s">
        <v>240</v>
      </c>
      <c r="N88" s="16" t="str">
        <f aca="false">IF(L88="","— (unassigned)",INDEX('Employee Lookup'!$B$5:$B$24,MATCH(L88,'Employee Lookup'!$A$5:$A$24,0)))</f>
        <v>Harper Jenkins</v>
      </c>
      <c r="O88" s="16" t="str">
        <f aca="false">IF(L88="","—",INDEX('Employee Lookup'!$C$5:$C$24,MATCH(L88,'Employee Lookup'!$A$5:$A$24,0)))</f>
        <v>Operations</v>
      </c>
      <c r="P88" s="12" t="s">
        <v>149</v>
      </c>
      <c r="Q88" s="11" t="s">
        <v>33</v>
      </c>
      <c r="R88" s="11" t="s">
        <v>34</v>
      </c>
      <c r="S88" s="13" t="n">
        <v>45385</v>
      </c>
      <c r="T88" s="17" t="str">
        <f aca="false">IF(S88&lt;Assumptions!$B$4,"Expired",IF(S88-Assumptions!$B$4&lt;=Assumptions!$B$6,"Expiring soon","Valid"))</f>
        <v>Expired</v>
      </c>
      <c r="U88" s="13" t="n">
        <v>46203</v>
      </c>
      <c r="V88" s="17" t="str">
        <f aca="false">IF(Assumptions!$B$4-U88&gt;Assumptions!$B$7,"Overdue","OK")</f>
        <v>OK</v>
      </c>
    </row>
    <row r="89" customFormat="false" ht="15" hidden="false" customHeight="false" outlineLevel="0" collapsed="false">
      <c r="A89" s="4" t="s">
        <v>277</v>
      </c>
      <c r="B89" s="5" t="s">
        <v>278</v>
      </c>
      <c r="C89" s="5" t="s">
        <v>279</v>
      </c>
      <c r="D89" s="5" t="s">
        <v>280</v>
      </c>
      <c r="E89" s="5" t="s">
        <v>281</v>
      </c>
      <c r="F89" s="6" t="n">
        <v>44417</v>
      </c>
      <c r="G89" s="5" t="s">
        <v>282</v>
      </c>
      <c r="H89" s="7" t="n">
        <v>1850</v>
      </c>
      <c r="I89" s="4" t="n">
        <v>6</v>
      </c>
      <c r="J89" s="8" t="n">
        <f aca="false">ROUND(MIN(H89,H89/I89*(Assumptions!$B$4-F89)/365.25),2)</f>
        <v>1589.57</v>
      </c>
      <c r="K89" s="8" t="n">
        <f aca="false">H89-J89</f>
        <v>260.43</v>
      </c>
      <c r="L89" s="4" t="s">
        <v>200</v>
      </c>
      <c r="M89" s="4" t="s">
        <v>240</v>
      </c>
      <c r="N89" s="9" t="str">
        <f aca="false">IF(L89="","— (unassigned)",INDEX('Employee Lookup'!$B$5:$B$24,MATCH(L89,'Employee Lookup'!$A$5:$A$24,0)))</f>
        <v>Henry Coleman</v>
      </c>
      <c r="O89" s="9" t="str">
        <f aca="false">IF(L89="","—",INDEX('Employee Lookup'!$C$5:$C$24,MATCH(L89,'Employee Lookup'!$A$5:$A$24,0)))</f>
        <v>Operations</v>
      </c>
      <c r="P89" s="5" t="s">
        <v>283</v>
      </c>
      <c r="Q89" s="4" t="s">
        <v>33</v>
      </c>
      <c r="R89" s="4" t="s">
        <v>34</v>
      </c>
      <c r="S89" s="6" t="n">
        <v>45147</v>
      </c>
      <c r="T89" s="10" t="str">
        <f aca="false">IF(S89&lt;Assumptions!$B$4,"Expired",IF(S89-Assumptions!$B$4&lt;=Assumptions!$B$6,"Expiring soon","Valid"))</f>
        <v>Expired</v>
      </c>
      <c r="U89" s="6" t="n">
        <v>46203</v>
      </c>
      <c r="V89" s="10" t="str">
        <f aca="false">IF(Assumptions!$B$4-U89&gt;Assumptions!$B$7,"Overdue","OK")</f>
        <v>OK</v>
      </c>
    </row>
    <row r="90" customFormat="false" ht="15" hidden="false" customHeight="false" outlineLevel="0" collapsed="false">
      <c r="A90" s="11" t="s">
        <v>284</v>
      </c>
      <c r="B90" s="12" t="s">
        <v>278</v>
      </c>
      <c r="C90" s="12" t="s">
        <v>285</v>
      </c>
      <c r="D90" s="12" t="s">
        <v>286</v>
      </c>
      <c r="E90" s="12" t="s">
        <v>287</v>
      </c>
      <c r="F90" s="13" t="n">
        <v>44816</v>
      </c>
      <c r="G90" s="12" t="s">
        <v>282</v>
      </c>
      <c r="H90" s="14" t="n">
        <v>1300</v>
      </c>
      <c r="I90" s="11" t="n">
        <v>6</v>
      </c>
      <c r="J90" s="15" t="n">
        <f aca="false">ROUND(MIN(H90,H90/I90*(Assumptions!$B$4-F90)/365.25),2)</f>
        <v>880.31</v>
      </c>
      <c r="K90" s="15" t="n">
        <f aca="false">H90-J90</f>
        <v>419.69</v>
      </c>
      <c r="L90" s="11" t="s">
        <v>200</v>
      </c>
      <c r="M90" s="11" t="s">
        <v>240</v>
      </c>
      <c r="N90" s="16" t="str">
        <f aca="false">IF(L90="","— (unassigned)",INDEX('Employee Lookup'!$B$5:$B$24,MATCH(L90,'Employee Lookup'!$A$5:$A$24,0)))</f>
        <v>Henry Coleman</v>
      </c>
      <c r="O90" s="16" t="str">
        <f aca="false">IF(L90="","—",INDEX('Employee Lookup'!$C$5:$C$24,MATCH(L90,'Employee Lookup'!$A$5:$A$24,0)))</f>
        <v>Operations</v>
      </c>
      <c r="P90" s="12" t="s">
        <v>288</v>
      </c>
      <c r="Q90" s="11" t="s">
        <v>46</v>
      </c>
      <c r="R90" s="11" t="s">
        <v>34</v>
      </c>
      <c r="S90" s="13" t="n">
        <v>45912</v>
      </c>
      <c r="T90" s="17" t="str">
        <f aca="false">IF(S90&lt;Assumptions!$B$4,"Expired",IF(S90-Assumptions!$B$4&lt;=Assumptions!$B$6,"Expiring soon","Valid"))</f>
        <v>Expired</v>
      </c>
      <c r="U90" s="13" t="n">
        <v>46203</v>
      </c>
      <c r="V90" s="17" t="str">
        <f aca="false">IF(Assumptions!$B$4-U90&gt;Assumptions!$B$7,"Overdue","OK")</f>
        <v>OK</v>
      </c>
    </row>
    <row r="91" customFormat="false" ht="15" hidden="false" customHeight="false" outlineLevel="0" collapsed="false">
      <c r="A91" s="4" t="s">
        <v>289</v>
      </c>
      <c r="B91" s="5" t="s">
        <v>278</v>
      </c>
      <c r="C91" s="5" t="s">
        <v>290</v>
      </c>
      <c r="D91" s="5" t="s">
        <v>291</v>
      </c>
      <c r="E91" s="5" t="s">
        <v>292</v>
      </c>
      <c r="F91" s="6" t="n">
        <v>45313</v>
      </c>
      <c r="G91" s="5" t="s">
        <v>282</v>
      </c>
      <c r="H91" s="7" t="n">
        <v>2600</v>
      </c>
      <c r="I91" s="4" t="n">
        <v>5</v>
      </c>
      <c r="J91" s="8" t="n">
        <f aca="false">ROUND(MIN(H91,H91/I91*(Assumptions!$B$4-F91)/365.25),2)</f>
        <v>1405.17</v>
      </c>
      <c r="K91" s="8" t="n">
        <f aca="false">H91-J91</f>
        <v>1194.83</v>
      </c>
      <c r="L91" s="4" t="s">
        <v>200</v>
      </c>
      <c r="M91" s="4" t="s">
        <v>240</v>
      </c>
      <c r="N91" s="9" t="str">
        <f aca="false">IF(L91="","— (unassigned)",INDEX('Employee Lookup'!$B$5:$B$24,MATCH(L91,'Employee Lookup'!$A$5:$A$24,0)))</f>
        <v>Henry Coleman</v>
      </c>
      <c r="O91" s="9" t="str">
        <f aca="false">IF(L91="","—",INDEX('Employee Lookup'!$C$5:$C$24,MATCH(L91,'Employee Lookup'!$A$5:$A$24,0)))</f>
        <v>Operations</v>
      </c>
      <c r="P91" s="5" t="s">
        <v>293</v>
      </c>
      <c r="Q91" s="4" t="s">
        <v>46</v>
      </c>
      <c r="R91" s="4" t="s">
        <v>34</v>
      </c>
      <c r="S91" s="6" t="n">
        <v>46409</v>
      </c>
      <c r="T91" s="10" t="str">
        <f aca="false">IF(S91&lt;Assumptions!$B$4,"Expired",IF(S91-Assumptions!$B$4&lt;=Assumptions!$B$6,"Expiring soon","Valid"))</f>
        <v>Valid</v>
      </c>
      <c r="U91" s="6" t="n">
        <v>46203</v>
      </c>
      <c r="V91" s="10" t="str">
        <f aca="false">IF(Assumptions!$B$4-U91&gt;Assumptions!$B$7,"Overdue","OK")</f>
        <v>OK</v>
      </c>
    </row>
    <row r="92" customFormat="false" ht="15" hidden="false" customHeight="false" outlineLevel="0" collapsed="false">
      <c r="A92" s="11" t="s">
        <v>294</v>
      </c>
      <c r="B92" s="12" t="s">
        <v>48</v>
      </c>
      <c r="C92" s="12" t="s">
        <v>295</v>
      </c>
      <c r="D92" s="12" t="s">
        <v>296</v>
      </c>
      <c r="E92" s="12" t="s">
        <v>297</v>
      </c>
      <c r="F92" s="13" t="n">
        <v>43514</v>
      </c>
      <c r="G92" s="12" t="s">
        <v>52</v>
      </c>
      <c r="H92" s="14" t="n">
        <v>2800</v>
      </c>
      <c r="I92" s="11" t="n">
        <v>10</v>
      </c>
      <c r="J92" s="15" t="n">
        <f aca="false">ROUND(MIN(H92,H92/I92*(Assumptions!$B$4-F92)/365.25),2)</f>
        <v>2135.74</v>
      </c>
      <c r="K92" s="15" t="n">
        <f aca="false">H92-J92</f>
        <v>664.26</v>
      </c>
      <c r="L92" s="11" t="s">
        <v>200</v>
      </c>
      <c r="M92" s="11" t="s">
        <v>240</v>
      </c>
      <c r="N92" s="16" t="str">
        <f aca="false">IF(L92="","— (unassigned)",INDEX('Employee Lookup'!$B$5:$B$24,MATCH(L92,'Employee Lookup'!$A$5:$A$24,0)))</f>
        <v>Henry Coleman</v>
      </c>
      <c r="O92" s="16" t="str">
        <f aca="false">IF(L92="","—",INDEX('Employee Lookup'!$C$5:$C$24,MATCH(L92,'Employee Lookup'!$A$5:$A$24,0)))</f>
        <v>Operations</v>
      </c>
      <c r="P92" s="12" t="s">
        <v>293</v>
      </c>
      <c r="Q92" s="11" t="s">
        <v>46</v>
      </c>
      <c r="R92" s="11" t="s">
        <v>34</v>
      </c>
      <c r="S92" s="13" t="n">
        <v>45340</v>
      </c>
      <c r="T92" s="17" t="str">
        <f aca="false">IF(S92&lt;Assumptions!$B$4,"Expired",IF(S92-Assumptions!$B$4&lt;=Assumptions!$B$6,"Expiring soon","Valid"))</f>
        <v>Expired</v>
      </c>
      <c r="U92" s="13" t="n">
        <v>46203</v>
      </c>
      <c r="V92" s="17" t="str">
        <f aca="false">IF(Assumptions!$B$4-U92&gt;Assumptions!$B$7,"Overdue","OK")</f>
        <v>OK</v>
      </c>
    </row>
    <row r="93" customFormat="false" ht="15" hidden="false" customHeight="false" outlineLevel="0" collapsed="false">
      <c r="A93" s="4" t="s">
        <v>298</v>
      </c>
      <c r="B93" s="5" t="s">
        <v>48</v>
      </c>
      <c r="C93" s="5" t="s">
        <v>299</v>
      </c>
      <c r="D93" s="5" t="s">
        <v>300</v>
      </c>
      <c r="E93" s="5" t="s">
        <v>301</v>
      </c>
      <c r="F93" s="6" t="n">
        <v>43514</v>
      </c>
      <c r="G93" s="5" t="s">
        <v>52</v>
      </c>
      <c r="H93" s="7" t="n">
        <v>3500</v>
      </c>
      <c r="I93" s="4" t="n">
        <v>10</v>
      </c>
      <c r="J93" s="8" t="n">
        <f aca="false">ROUND(MIN(H93,H93/I93*(Assumptions!$B$4-F93)/365.25),2)</f>
        <v>2669.68</v>
      </c>
      <c r="K93" s="8" t="n">
        <f aca="false">H93-J93</f>
        <v>830.32</v>
      </c>
      <c r="L93" s="4" t="s">
        <v>200</v>
      </c>
      <c r="M93" s="4" t="s">
        <v>240</v>
      </c>
      <c r="N93" s="9" t="str">
        <f aca="false">IF(L93="","— (unassigned)",INDEX('Employee Lookup'!$B$5:$B$24,MATCH(L93,'Employee Lookup'!$A$5:$A$24,0)))</f>
        <v>Henry Coleman</v>
      </c>
      <c r="O93" s="9" t="str">
        <f aca="false">IF(L93="","—",INDEX('Employee Lookup'!$C$5:$C$24,MATCH(L93,'Employee Lookup'!$A$5:$A$24,0)))</f>
        <v>Operations</v>
      </c>
      <c r="P93" s="5" t="s">
        <v>272</v>
      </c>
      <c r="Q93" s="4" t="s">
        <v>46</v>
      </c>
      <c r="R93" s="4" t="s">
        <v>34</v>
      </c>
      <c r="S93" s="6" t="n">
        <v>45340</v>
      </c>
      <c r="T93" s="10" t="str">
        <f aca="false">IF(S93&lt;Assumptions!$B$4,"Expired",IF(S93-Assumptions!$B$4&lt;=Assumptions!$B$6,"Expiring soon","Valid"))</f>
        <v>Expired</v>
      </c>
      <c r="U93" s="6" t="n">
        <v>46006</v>
      </c>
      <c r="V93" s="10" t="str">
        <f aca="false">IF(Assumptions!$B$4-U93&gt;Assumptions!$B$7,"Overdue","OK")</f>
        <v>OK</v>
      </c>
    </row>
    <row r="94" customFormat="false" ht="15" hidden="false" customHeight="false" outlineLevel="0" collapsed="false">
      <c r="A94" s="11" t="s">
        <v>302</v>
      </c>
      <c r="B94" s="12" t="s">
        <v>303</v>
      </c>
      <c r="C94" s="12" t="s">
        <v>304</v>
      </c>
      <c r="D94" s="12" t="s">
        <v>305</v>
      </c>
      <c r="E94" s="12" t="s">
        <v>306</v>
      </c>
      <c r="F94" s="13" t="n">
        <v>44867</v>
      </c>
      <c r="G94" s="12" t="s">
        <v>276</v>
      </c>
      <c r="H94" s="14" t="n">
        <v>2300</v>
      </c>
      <c r="I94" s="11" t="n">
        <v>6</v>
      </c>
      <c r="J94" s="15" t="n">
        <f aca="false">ROUND(MIN(H94,H94/I94*(Assumptions!$B$4-F94)/365.25),2)</f>
        <v>1503.95</v>
      </c>
      <c r="K94" s="15" t="n">
        <f aca="false">H94-J94</f>
        <v>796.05</v>
      </c>
      <c r="L94" s="11" t="s">
        <v>200</v>
      </c>
      <c r="M94" s="11" t="s">
        <v>240</v>
      </c>
      <c r="N94" s="16" t="str">
        <f aca="false">IF(L94="","— (unassigned)",INDEX('Employee Lookup'!$B$5:$B$24,MATCH(L94,'Employee Lookup'!$A$5:$A$24,0)))</f>
        <v>Henry Coleman</v>
      </c>
      <c r="O94" s="16" t="str">
        <f aca="false">IF(L94="","—",INDEX('Employee Lookup'!$C$5:$C$24,MATCH(L94,'Employee Lookup'!$A$5:$A$24,0)))</f>
        <v>Operations</v>
      </c>
      <c r="P94" s="12" t="s">
        <v>307</v>
      </c>
      <c r="Q94" s="11" t="s">
        <v>46</v>
      </c>
      <c r="R94" s="11" t="s">
        <v>34</v>
      </c>
      <c r="S94" s="13" t="n">
        <v>45598</v>
      </c>
      <c r="T94" s="17" t="str">
        <f aca="false">IF(S94&lt;Assumptions!$B$4,"Expired",IF(S94-Assumptions!$B$4&lt;=Assumptions!$B$6,"Expiring soon","Valid"))</f>
        <v>Expired</v>
      </c>
      <c r="U94" s="13" t="n">
        <v>46203</v>
      </c>
      <c r="V94" s="17" t="str">
        <f aca="false">IF(Assumptions!$B$4-U94&gt;Assumptions!$B$7,"Overdue","OK")</f>
        <v>OK</v>
      </c>
    </row>
    <row r="95" customFormat="false" ht="15" hidden="false" customHeight="false" outlineLevel="0" collapsed="false">
      <c r="A95" s="4" t="s">
        <v>308</v>
      </c>
      <c r="B95" s="5" t="s">
        <v>303</v>
      </c>
      <c r="C95" s="5" t="s">
        <v>309</v>
      </c>
      <c r="D95" s="5" t="s">
        <v>310</v>
      </c>
      <c r="E95" s="5" t="s">
        <v>311</v>
      </c>
      <c r="F95" s="6" t="n">
        <v>44368</v>
      </c>
      <c r="G95" s="5" t="s">
        <v>276</v>
      </c>
      <c r="H95" s="7" t="n">
        <v>1400</v>
      </c>
      <c r="I95" s="4" t="n">
        <v>8</v>
      </c>
      <c r="J95" s="8" t="n">
        <f aca="false">ROUND(MIN(H95,H95/I95*(Assumptions!$B$4-F95)/365.25),2)</f>
        <v>925.67</v>
      </c>
      <c r="K95" s="8" t="n">
        <f aca="false">H95-J95</f>
        <v>474.33</v>
      </c>
      <c r="L95" s="4" t="s">
        <v>200</v>
      </c>
      <c r="M95" s="4" t="s">
        <v>240</v>
      </c>
      <c r="N95" s="9" t="str">
        <f aca="false">IF(L95="","— (unassigned)",INDEX('Employee Lookup'!$B$5:$B$24,MATCH(L95,'Employee Lookup'!$A$5:$A$24,0)))</f>
        <v>Henry Coleman</v>
      </c>
      <c r="O95" s="9" t="str">
        <f aca="false">IF(L95="","—",INDEX('Employee Lookup'!$C$5:$C$24,MATCH(L95,'Employee Lookup'!$A$5:$A$24,0)))</f>
        <v>Operations</v>
      </c>
      <c r="P95" s="5" t="s">
        <v>307</v>
      </c>
      <c r="Q95" s="4" t="s">
        <v>46</v>
      </c>
      <c r="R95" s="4" t="s">
        <v>34</v>
      </c>
      <c r="S95" s="6" t="n">
        <v>45098</v>
      </c>
      <c r="T95" s="10" t="str">
        <f aca="false">IF(S95&lt;Assumptions!$B$4,"Expired",IF(S95-Assumptions!$B$4&lt;=Assumptions!$B$6,"Expiring soon","Valid"))</f>
        <v>Expired</v>
      </c>
      <c r="U95" s="6" t="n">
        <v>46203</v>
      </c>
      <c r="V95" s="10" t="str">
        <f aca="false">IF(Assumptions!$B$4-U95&gt;Assumptions!$B$7,"Overdue","OK")</f>
        <v>OK</v>
      </c>
    </row>
    <row r="96" customFormat="false" ht="15" hidden="false" customHeight="false" outlineLevel="0" collapsed="false">
      <c r="A96" s="11" t="s">
        <v>312</v>
      </c>
      <c r="B96" s="12" t="s">
        <v>313</v>
      </c>
      <c r="C96" s="12" t="s">
        <v>314</v>
      </c>
      <c r="D96" s="12" t="s">
        <v>315</v>
      </c>
      <c r="E96" s="12" t="s">
        <v>316</v>
      </c>
      <c r="F96" s="13" t="n">
        <v>44718</v>
      </c>
      <c r="G96" s="12" t="s">
        <v>317</v>
      </c>
      <c r="H96" s="14" t="n">
        <v>2650</v>
      </c>
      <c r="I96" s="11" t="n">
        <v>6</v>
      </c>
      <c r="J96" s="15" t="n">
        <f aca="false">ROUND(MIN(H96,H96/I96*(Assumptions!$B$4-F96)/365.25),2)</f>
        <v>1912.98</v>
      </c>
      <c r="K96" s="15" t="n">
        <f aca="false">H96-J96</f>
        <v>737.02</v>
      </c>
      <c r="L96" s="11" t="s">
        <v>200</v>
      </c>
      <c r="M96" s="11" t="s">
        <v>240</v>
      </c>
      <c r="N96" s="16" t="str">
        <f aca="false">IF(L96="","— (unassigned)",INDEX('Employee Lookup'!$B$5:$B$24,MATCH(L96,'Employee Lookup'!$A$5:$A$24,0)))</f>
        <v>Henry Coleman</v>
      </c>
      <c r="O96" s="16" t="str">
        <f aca="false">IF(L96="","—",INDEX('Employee Lookup'!$C$5:$C$24,MATCH(L96,'Employee Lookup'!$A$5:$A$24,0)))</f>
        <v>Operations</v>
      </c>
      <c r="P96" s="12" t="s">
        <v>32</v>
      </c>
      <c r="Q96" s="11" t="s">
        <v>46</v>
      </c>
      <c r="R96" s="11" t="s">
        <v>34</v>
      </c>
      <c r="S96" s="13" t="n">
        <v>45449</v>
      </c>
      <c r="T96" s="17" t="str">
        <f aca="false">IF(S96&lt;Assumptions!$B$4,"Expired",IF(S96-Assumptions!$B$4&lt;=Assumptions!$B$6,"Expiring soon","Valid"))</f>
        <v>Expired</v>
      </c>
      <c r="U96" s="13" t="n">
        <v>46203</v>
      </c>
      <c r="V96" s="17" t="str">
        <f aca="false">IF(Assumptions!$B$4-U96&gt;Assumptions!$B$7,"Overdue","OK")</f>
        <v>OK</v>
      </c>
    </row>
    <row r="97" customFormat="false" ht="15" hidden="false" customHeight="false" outlineLevel="0" collapsed="false">
      <c r="A97" s="4" t="s">
        <v>318</v>
      </c>
      <c r="B97" s="5" t="s">
        <v>313</v>
      </c>
      <c r="C97" s="5" t="s">
        <v>319</v>
      </c>
      <c r="D97" s="5" t="s">
        <v>320</v>
      </c>
      <c r="E97" s="5" t="s">
        <v>321</v>
      </c>
      <c r="F97" s="6" t="n">
        <v>44718</v>
      </c>
      <c r="G97" s="5" t="s">
        <v>317</v>
      </c>
      <c r="H97" s="7" t="n">
        <v>1950</v>
      </c>
      <c r="I97" s="4" t="n">
        <v>8</v>
      </c>
      <c r="J97" s="8" t="n">
        <f aca="false">ROUND(MIN(H97,H97/I97*(Assumptions!$B$4-F97)/365.25),2)</f>
        <v>1055.75</v>
      </c>
      <c r="K97" s="8" t="n">
        <f aca="false">H97-J97</f>
        <v>894.25</v>
      </c>
      <c r="L97" s="4" t="s">
        <v>200</v>
      </c>
      <c r="M97" s="4" t="s">
        <v>240</v>
      </c>
      <c r="N97" s="9" t="str">
        <f aca="false">IF(L97="","— (unassigned)",INDEX('Employee Lookup'!$B$5:$B$24,MATCH(L97,'Employee Lookup'!$A$5:$A$24,0)))</f>
        <v>Henry Coleman</v>
      </c>
      <c r="O97" s="9" t="str">
        <f aca="false">IF(L97="","—",INDEX('Employee Lookup'!$C$5:$C$24,MATCH(L97,'Employee Lookup'!$A$5:$A$24,0)))</f>
        <v>Operations</v>
      </c>
      <c r="P97" s="5" t="s">
        <v>32</v>
      </c>
      <c r="Q97" s="4" t="s">
        <v>46</v>
      </c>
      <c r="R97" s="4" t="s">
        <v>34</v>
      </c>
      <c r="S97" s="6" t="n">
        <v>45449</v>
      </c>
      <c r="T97" s="10" t="str">
        <f aca="false">IF(S97&lt;Assumptions!$B$4,"Expired",IF(S97-Assumptions!$B$4&lt;=Assumptions!$B$6,"Expiring soon","Valid"))</f>
        <v>Expired</v>
      </c>
      <c r="U97" s="6" t="n">
        <v>46203</v>
      </c>
      <c r="V97" s="10" t="str">
        <f aca="false">IF(Assumptions!$B$4-U97&gt;Assumptions!$B$7,"Overdue","OK")</f>
        <v>OK</v>
      </c>
    </row>
    <row r="98" customFormat="false" ht="15" hidden="false" customHeight="false" outlineLevel="0" collapsed="false">
      <c r="A98" s="11" t="s">
        <v>322</v>
      </c>
      <c r="B98" s="12" t="s">
        <v>25</v>
      </c>
      <c r="C98" s="12" t="s">
        <v>323</v>
      </c>
      <c r="D98" s="12" t="s">
        <v>54</v>
      </c>
      <c r="E98" s="12" t="s">
        <v>324</v>
      </c>
      <c r="F98" s="13" t="n">
        <v>45902</v>
      </c>
      <c r="G98" s="12" t="s">
        <v>56</v>
      </c>
      <c r="H98" s="14" t="n">
        <v>1350</v>
      </c>
      <c r="I98" s="11" t="n">
        <v>4</v>
      </c>
      <c r="J98" s="15" t="n">
        <f aca="false">ROUND(MIN(H98,H98/I98*(Assumptions!$B$4-F98)/365.25),2)</f>
        <v>367.76</v>
      </c>
      <c r="K98" s="15" t="n">
        <f aca="false">H98-J98</f>
        <v>982.24</v>
      </c>
      <c r="L98" s="11" t="s">
        <v>216</v>
      </c>
      <c r="M98" s="11" t="s">
        <v>325</v>
      </c>
      <c r="N98" s="16" t="str">
        <f aca="false">IF(L98="","— (unassigned)",INDEX('Employee Lookup'!$B$5:$B$24,MATCH(L98,'Employee Lookup'!$A$5:$A$24,0)))</f>
        <v>Jack Stewart</v>
      </c>
      <c r="O98" s="16" t="str">
        <f aca="false">IF(L98="","—",INDEX('Employee Lookup'!$C$5:$C$24,MATCH(L98,'Employee Lookup'!$A$5:$A$24,0)))</f>
        <v>Technology</v>
      </c>
      <c r="P98" s="12" t="s">
        <v>326</v>
      </c>
      <c r="Q98" s="11" t="s">
        <v>327</v>
      </c>
      <c r="R98" s="11" t="s">
        <v>328</v>
      </c>
      <c r="S98" s="13" t="n">
        <v>46998</v>
      </c>
      <c r="T98" s="17" t="str">
        <f aca="false">IF(S98&lt;Assumptions!$B$4,"Expired",IF(S98-Assumptions!$B$4&lt;=Assumptions!$B$6,"Expiring soon","Valid"))</f>
        <v>Valid</v>
      </c>
      <c r="U98" s="13" t="n">
        <v>46203</v>
      </c>
      <c r="V98" s="17" t="str">
        <f aca="false">IF(Assumptions!$B$4-U98&gt;Assumptions!$B$7,"Overdue","OK")</f>
        <v>OK</v>
      </c>
    </row>
    <row r="99" customFormat="false" ht="15" hidden="false" customHeight="false" outlineLevel="0" collapsed="false">
      <c r="A99" s="4" t="s">
        <v>329</v>
      </c>
      <c r="B99" s="5" t="s">
        <v>25</v>
      </c>
      <c r="C99" s="5" t="s">
        <v>323</v>
      </c>
      <c r="D99" s="5" t="s">
        <v>54</v>
      </c>
      <c r="E99" s="5" t="s">
        <v>330</v>
      </c>
      <c r="F99" s="6" t="n">
        <v>46126</v>
      </c>
      <c r="G99" s="5" t="s">
        <v>56</v>
      </c>
      <c r="H99" s="7" t="n">
        <v>1350</v>
      </c>
      <c r="I99" s="4" t="n">
        <v>4</v>
      </c>
      <c r="J99" s="8" t="n">
        <f aca="false">ROUND(MIN(H99,H99/I99*(Assumptions!$B$4-F99)/365.25),2)</f>
        <v>160.78</v>
      </c>
      <c r="K99" s="8" t="n">
        <f aca="false">H99-J99</f>
        <v>1189.22</v>
      </c>
      <c r="L99" s="4" t="s">
        <v>216</v>
      </c>
      <c r="M99" s="4" t="s">
        <v>325</v>
      </c>
      <c r="N99" s="9" t="str">
        <f aca="false">IF(L99="","— (unassigned)",INDEX('Employee Lookup'!$B$5:$B$24,MATCH(L99,'Employee Lookup'!$A$5:$A$24,0)))</f>
        <v>Jack Stewart</v>
      </c>
      <c r="O99" s="9" t="str">
        <f aca="false">IF(L99="","—",INDEX('Employee Lookup'!$C$5:$C$24,MATCH(L99,'Employee Lookup'!$A$5:$A$24,0)))</f>
        <v>Technology</v>
      </c>
      <c r="P99" s="5" t="s">
        <v>326</v>
      </c>
      <c r="Q99" s="4" t="s">
        <v>327</v>
      </c>
      <c r="R99" s="4" t="s">
        <v>328</v>
      </c>
      <c r="S99" s="6" t="n">
        <v>47222</v>
      </c>
      <c r="T99" s="10" t="str">
        <f aca="false">IF(S99&lt;Assumptions!$B$4,"Expired",IF(S99-Assumptions!$B$4&lt;=Assumptions!$B$6,"Expiring soon","Valid"))</f>
        <v>Valid</v>
      </c>
      <c r="U99" s="6" t="n">
        <v>46203</v>
      </c>
      <c r="V99" s="10" t="str">
        <f aca="false">IF(Assumptions!$B$4-U99&gt;Assumptions!$B$7,"Overdue","OK")</f>
        <v>OK</v>
      </c>
    </row>
    <row r="100" customFormat="false" ht="15" hidden="false" customHeight="false" outlineLevel="0" collapsed="false">
      <c r="A100" s="11" t="s">
        <v>331</v>
      </c>
      <c r="B100" s="12" t="s">
        <v>36</v>
      </c>
      <c r="C100" s="12" t="s">
        <v>332</v>
      </c>
      <c r="D100" s="12" t="s">
        <v>38</v>
      </c>
      <c r="E100" s="12" t="s">
        <v>333</v>
      </c>
      <c r="F100" s="13" t="n">
        <v>45432</v>
      </c>
      <c r="G100" s="12" t="s">
        <v>29</v>
      </c>
      <c r="H100" s="14" t="n">
        <v>320</v>
      </c>
      <c r="I100" s="11" t="n">
        <v>5</v>
      </c>
      <c r="J100" s="15" t="n">
        <f aca="false">ROUND(MIN(H100,H100/I100*(Assumptions!$B$4-F100)/365.25),2)</f>
        <v>152.09</v>
      </c>
      <c r="K100" s="15" t="n">
        <f aca="false">H100-J100</f>
        <v>167.91</v>
      </c>
      <c r="L100" s="11" t="s">
        <v>216</v>
      </c>
      <c r="M100" s="11" t="s">
        <v>325</v>
      </c>
      <c r="N100" s="16" t="str">
        <f aca="false">IF(L100="","— (unassigned)",INDEX('Employee Lookup'!$B$5:$B$24,MATCH(L100,'Employee Lookup'!$A$5:$A$24,0)))</f>
        <v>Jack Stewart</v>
      </c>
      <c r="O100" s="16" t="str">
        <f aca="false">IF(L100="","—",INDEX('Employee Lookup'!$C$5:$C$24,MATCH(L100,'Employee Lookup'!$A$5:$A$24,0)))</f>
        <v>Technology</v>
      </c>
      <c r="P100" s="12" t="s">
        <v>326</v>
      </c>
      <c r="Q100" s="11" t="s">
        <v>46</v>
      </c>
      <c r="R100" s="11" t="s">
        <v>328</v>
      </c>
      <c r="S100" s="13" t="n">
        <v>46527</v>
      </c>
      <c r="T100" s="17" t="str">
        <f aca="false">IF(S100&lt;Assumptions!$B$4,"Expired",IF(S100-Assumptions!$B$4&lt;=Assumptions!$B$6,"Expiring soon","Valid"))</f>
        <v>Valid</v>
      </c>
      <c r="U100" s="13" t="n">
        <v>46203</v>
      </c>
      <c r="V100" s="17" t="str">
        <f aca="false">IF(Assumptions!$B$4-U100&gt;Assumptions!$B$7,"Overdue","OK")</f>
        <v>OK</v>
      </c>
    </row>
    <row r="101" customFormat="false" ht="15" hidden="false" customHeight="false" outlineLevel="0" collapsed="false">
      <c r="A101" s="4" t="s">
        <v>334</v>
      </c>
      <c r="B101" s="5" t="s">
        <v>25</v>
      </c>
      <c r="C101" s="5" t="s">
        <v>335</v>
      </c>
      <c r="D101" s="5" t="s">
        <v>336</v>
      </c>
      <c r="E101" s="5" t="s">
        <v>337</v>
      </c>
      <c r="F101" s="6" t="n">
        <v>44228</v>
      </c>
      <c r="G101" s="5" t="s">
        <v>29</v>
      </c>
      <c r="H101" s="7" t="n">
        <v>1200</v>
      </c>
      <c r="I101" s="4" t="n">
        <v>4</v>
      </c>
      <c r="J101" s="8" t="n">
        <f aca="false">ROUND(MIN(H101,H101/I101*(Assumptions!$B$4-F101)/365.25),2)</f>
        <v>1200</v>
      </c>
      <c r="K101" s="8" t="n">
        <f aca="false">H101-J101</f>
        <v>0</v>
      </c>
      <c r="L101" s="4"/>
      <c r="M101" s="4" t="s">
        <v>325</v>
      </c>
      <c r="N101" s="9" t="str">
        <f aca="false">IF(L101="","— (unassigned)",INDEX('Employee Lookup'!$B$5:$B$24,MATCH(L101,'Employee Lookup'!$A$5:$A$24,0)))</f>
        <v>— (unassigned)</v>
      </c>
      <c r="O101" s="9" t="str">
        <f aca="false">IF(L101="","—",INDEX('Employee Lookup'!$C$5:$C$24,MATCH(L101,'Employee Lookup'!$A$5:$A$24,0)))</f>
        <v>—</v>
      </c>
      <c r="P101" s="5" t="s">
        <v>326</v>
      </c>
      <c r="Q101" s="4" t="s">
        <v>91</v>
      </c>
      <c r="R101" s="4" t="s">
        <v>338</v>
      </c>
      <c r="S101" s="6" t="n">
        <v>45323</v>
      </c>
      <c r="T101" s="10" t="str">
        <f aca="false">IF(S101&lt;Assumptions!$B$4,"Expired",IF(S101-Assumptions!$B$4&lt;=Assumptions!$B$6,"Expiring soon","Valid"))</f>
        <v>Expired</v>
      </c>
      <c r="U101" s="6" t="n">
        <v>46114</v>
      </c>
      <c r="V101" s="10" t="str">
        <f aca="false">IF(Assumptions!$B$4-U101&gt;Assumptions!$B$7,"Overdue","OK")</f>
        <v>OK</v>
      </c>
    </row>
    <row r="103" customFormat="false" ht="15" hidden="false" customHeight="false" outlineLevel="0" collapsed="false">
      <c r="A103" s="18" t="s">
        <v>339</v>
      </c>
      <c r="B103" s="18" t="str">
        <f aca="false">COUNTA(A5:A101)&amp;" assets"</f>
        <v>97 assets</v>
      </c>
      <c r="C103" s="18"/>
      <c r="D103" s="18"/>
      <c r="E103" s="18"/>
      <c r="F103" s="18"/>
      <c r="G103" s="18"/>
      <c r="H103" s="19" t="n">
        <f aca="false">SUM(H5:H101)</f>
        <v>105493</v>
      </c>
      <c r="I103" s="18"/>
      <c r="J103" s="19" t="n">
        <f aca="false">SUM(J5:J101)</f>
        <v>80370.52</v>
      </c>
      <c r="K103" s="19" t="n">
        <f aca="false">SUM(K5:K101)</f>
        <v>25122.48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</sheetData>
  <autoFilter ref="A4:V101"/>
  <conditionalFormatting sqref="T5:T101">
    <cfRule type="cellIs" priority="2" operator="equal" aboveAverage="0" equalAverage="0" bottom="0" percent="0" rank="0" text="" dxfId="8">
      <formula>"Expired"</formula>
    </cfRule>
    <cfRule type="cellIs" priority="3" operator="equal" aboveAverage="0" equalAverage="0" bottom="0" percent="0" rank="0" text="" dxfId="9">
      <formula>"Expiring soon"</formula>
    </cfRule>
  </conditionalFormatting>
  <conditionalFormatting sqref="V5:V101">
    <cfRule type="cellIs" priority="4" operator="equal" aboveAverage="0" equalAverage="0" bottom="0" percent="0" rank="0" text="" dxfId="8">
      <formula>"Overdue"</formula>
    </cfRule>
  </conditionalFormatting>
  <conditionalFormatting sqref="R5:R101">
    <cfRule type="cellIs" priority="5" operator="equal" aboveAverage="0" equalAverage="0" bottom="0" percent="0" rank="0" text="" dxfId="9">
      <formula>"Under Repair"</formula>
    </cfRule>
  </conditionalFormatting>
  <dataValidations count="2">
    <dataValidation allowBlank="false" errorStyle="stop" operator="between" showDropDown="false" showErrorMessage="false" showInputMessage="false" sqref="R5:R101" type="list">
      <formula1>"In Use,In Stock,Under Repair,Retired"</formula1>
      <formula2>0</formula2>
    </dataValidation>
    <dataValidation allowBlank="false" errorStyle="stop" operator="between" showDropDown="false" showErrorMessage="false" showInputMessage="false" sqref="Q5:Q101" type="list">
      <formula1>"New,Good,Fair,Poor"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8" min="6" style="0" width="16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4" customFormat="false" ht="42" hidden="false" customHeight="true" outlineLevel="0" collapsed="false">
      <c r="A4" s="3" t="s">
        <v>342</v>
      </c>
      <c r="B4" s="3" t="s">
        <v>343</v>
      </c>
      <c r="C4" s="3" t="s">
        <v>16</v>
      </c>
      <c r="D4" s="3" t="s">
        <v>344</v>
      </c>
      <c r="E4" s="3" t="s">
        <v>345</v>
      </c>
      <c r="F4" s="3" t="s">
        <v>346</v>
      </c>
      <c r="G4" s="3" t="s">
        <v>347</v>
      </c>
      <c r="H4" s="3" t="s">
        <v>348</v>
      </c>
      <c r="I4" s="3" t="s">
        <v>92</v>
      </c>
    </row>
    <row r="5" customFormat="false" ht="15" hidden="false" customHeight="false" outlineLevel="0" collapsed="false">
      <c r="A5" s="20" t="s">
        <v>30</v>
      </c>
      <c r="B5" s="20" t="s">
        <v>349</v>
      </c>
      <c r="C5" s="20" t="s">
        <v>350</v>
      </c>
      <c r="D5" s="20" t="s">
        <v>32</v>
      </c>
      <c r="E5" s="21" t="n">
        <f aca="false">COUNTIFS('Asset Register'!$L$5:$L$101,$A5,'Asset Register'!$M$5:$M$101,"Personal")</f>
        <v>4</v>
      </c>
      <c r="F5" s="21" t="n">
        <f aca="false">COUNTIFS('Asset Register'!$L$5:$L$101,$A5,'Asset Register'!$M$5:$M$101,"Shared (custodian)")</f>
        <v>0</v>
      </c>
      <c r="G5" s="22" t="n">
        <f aca="false">SUMIFS('Asset Register'!$H$5:$H$101,'Asset Register'!$L$5:$L$101,$A5,'Asset Register'!$M$5:$M$101,"Personal")</f>
        <v>4069</v>
      </c>
      <c r="H5" s="22" t="n">
        <f aca="false">SUMIFS('Asset Register'!$K$5:$K$101,'Asset Register'!$L$5:$L$101,$A5,'Asset Register'!$M$5:$M$101,"Personal")</f>
        <v>204.56</v>
      </c>
      <c r="I5" s="21" t="n">
        <f aca="false">COUNTIFS('Asset Register'!$L$5:$L$101,$A5,'Asset Register'!$R$5:$R$101,"Under Repair")</f>
        <v>0</v>
      </c>
    </row>
    <row r="6" customFormat="false" ht="15" hidden="false" customHeight="false" outlineLevel="0" collapsed="false">
      <c r="A6" s="23" t="s">
        <v>57</v>
      </c>
      <c r="B6" s="23" t="s">
        <v>351</v>
      </c>
      <c r="C6" s="23" t="s">
        <v>352</v>
      </c>
      <c r="D6" s="23" t="s">
        <v>32</v>
      </c>
      <c r="E6" s="24" t="n">
        <f aca="false">COUNTIFS('Asset Register'!$L$5:$L$101,$A6,'Asset Register'!$M$5:$M$101,"Personal")</f>
        <v>3</v>
      </c>
      <c r="F6" s="24" t="n">
        <f aca="false">COUNTIFS('Asset Register'!$L$5:$L$101,$A6,'Asset Register'!$M$5:$M$101,"Shared (custodian)")</f>
        <v>0</v>
      </c>
      <c r="G6" s="25" t="n">
        <f aca="false">SUMIFS('Asset Register'!$H$5:$H$101,'Asset Register'!$L$5:$L$101,$A6,'Asset Register'!$M$5:$M$101,"Personal")</f>
        <v>2320</v>
      </c>
      <c r="H6" s="25" t="n">
        <f aca="false">SUMIFS('Asset Register'!$K$5:$K$101,'Asset Register'!$L$5:$L$101,$A6,'Asset Register'!$M$5:$M$101,"Personal")</f>
        <v>388.68</v>
      </c>
      <c r="I6" s="24" t="n">
        <f aca="false">COUNTIFS('Asset Register'!$L$5:$L$101,$A6,'Asset Register'!$R$5:$R$101,"Under Repair")</f>
        <v>0</v>
      </c>
    </row>
    <row r="7" customFormat="false" ht="15" hidden="false" customHeight="false" outlineLevel="0" collapsed="false">
      <c r="A7" s="20" t="s">
        <v>67</v>
      </c>
      <c r="B7" s="20" t="s">
        <v>353</v>
      </c>
      <c r="C7" s="20" t="s">
        <v>354</v>
      </c>
      <c r="D7" s="20" t="s">
        <v>32</v>
      </c>
      <c r="E7" s="21" t="n">
        <f aca="false">COUNTIFS('Asset Register'!$L$5:$L$101,$A7,'Asset Register'!$M$5:$M$101,"Personal")</f>
        <v>5</v>
      </c>
      <c r="F7" s="21" t="n">
        <f aca="false">COUNTIFS('Asset Register'!$L$5:$L$101,$A7,'Asset Register'!$M$5:$M$101,"Shared (custodian)")</f>
        <v>1</v>
      </c>
      <c r="G7" s="22" t="n">
        <f aca="false">SUMIFS('Asset Register'!$H$5:$H$101,'Asset Register'!$L$5:$L$101,$A7,'Asset Register'!$M$5:$M$101,"Personal")</f>
        <v>4609</v>
      </c>
      <c r="H7" s="22" t="n">
        <f aca="false">SUMIFS('Asset Register'!$K$5:$K$101,'Asset Register'!$L$5:$L$101,$A7,'Asset Register'!$M$5:$M$101,"Personal")</f>
        <v>1795.03</v>
      </c>
      <c r="I7" s="21" t="n">
        <f aca="false">COUNTIFS('Asset Register'!$L$5:$L$101,$A7,'Asset Register'!$R$5:$R$101,"Under Repair")</f>
        <v>0</v>
      </c>
    </row>
    <row r="8" customFormat="false" ht="15" hidden="false" customHeight="false" outlineLevel="0" collapsed="false">
      <c r="A8" s="23" t="s">
        <v>81</v>
      </c>
      <c r="B8" s="23" t="s">
        <v>355</v>
      </c>
      <c r="C8" s="23" t="s">
        <v>356</v>
      </c>
      <c r="D8" s="23" t="s">
        <v>32</v>
      </c>
      <c r="E8" s="24" t="n">
        <f aca="false">COUNTIFS('Asset Register'!$L$5:$L$101,$A8,'Asset Register'!$M$5:$M$101,"Personal")</f>
        <v>4</v>
      </c>
      <c r="F8" s="24" t="n">
        <f aca="false">COUNTIFS('Asset Register'!$L$5:$L$101,$A8,'Asset Register'!$M$5:$M$101,"Shared (custodian)")</f>
        <v>0</v>
      </c>
      <c r="G8" s="25" t="n">
        <f aca="false">SUMIFS('Asset Register'!$H$5:$H$101,'Asset Register'!$L$5:$L$101,$A8,'Asset Register'!$M$5:$M$101,"Personal")</f>
        <v>3319</v>
      </c>
      <c r="H8" s="25" t="n">
        <f aca="false">SUMIFS('Asset Register'!$K$5:$K$101,'Asset Register'!$L$5:$L$101,$A8,'Asset Register'!$M$5:$M$101,"Personal")</f>
        <v>220.86</v>
      </c>
      <c r="I8" s="24" t="n">
        <f aca="false">COUNTIFS('Asset Register'!$L$5:$L$101,$A8,'Asset Register'!$R$5:$R$101,"Under Repair")</f>
        <v>0</v>
      </c>
    </row>
    <row r="9" customFormat="false" ht="15" hidden="false" customHeight="false" outlineLevel="0" collapsed="false">
      <c r="A9" s="20" t="s">
        <v>90</v>
      </c>
      <c r="B9" s="20" t="s">
        <v>357</v>
      </c>
      <c r="C9" s="20" t="s">
        <v>354</v>
      </c>
      <c r="D9" s="20" t="s">
        <v>32</v>
      </c>
      <c r="E9" s="21" t="n">
        <f aca="false">COUNTIFS('Asset Register'!$L$5:$L$101,$A9,'Asset Register'!$M$5:$M$101,"Personal")</f>
        <v>5</v>
      </c>
      <c r="F9" s="21" t="n">
        <f aca="false">COUNTIFS('Asset Register'!$L$5:$L$101,$A9,'Asset Register'!$M$5:$M$101,"Shared (custodian)")</f>
        <v>0</v>
      </c>
      <c r="G9" s="22" t="n">
        <f aca="false">SUMIFS('Asset Register'!$H$5:$H$101,'Asset Register'!$L$5:$L$101,$A9,'Asset Register'!$M$5:$M$101,"Personal")</f>
        <v>4960</v>
      </c>
      <c r="H9" s="22" t="n">
        <f aca="false">SUMIFS('Asset Register'!$K$5:$K$101,'Asset Register'!$L$5:$L$101,$A9,'Asset Register'!$M$5:$M$101,"Personal")</f>
        <v>1814.09</v>
      </c>
      <c r="I9" s="21" t="n">
        <f aca="false">COUNTIFS('Asset Register'!$L$5:$L$101,$A9,'Asset Register'!$R$5:$R$101,"Under Repair")</f>
        <v>1</v>
      </c>
    </row>
    <row r="10" customFormat="false" ht="15" hidden="false" customHeight="false" outlineLevel="0" collapsed="false">
      <c r="A10" s="23" t="s">
        <v>101</v>
      </c>
      <c r="B10" s="23" t="s">
        <v>358</v>
      </c>
      <c r="C10" s="23" t="s">
        <v>354</v>
      </c>
      <c r="D10" s="23" t="s">
        <v>32</v>
      </c>
      <c r="E10" s="24" t="n">
        <f aca="false">COUNTIFS('Asset Register'!$L$5:$L$101,$A10,'Asset Register'!$M$5:$M$101,"Personal")</f>
        <v>4</v>
      </c>
      <c r="F10" s="24" t="n">
        <f aca="false">COUNTIFS('Asset Register'!$L$5:$L$101,$A10,'Asset Register'!$M$5:$M$101,"Shared (custodian)")</f>
        <v>0</v>
      </c>
      <c r="G10" s="25" t="n">
        <f aca="false">SUMIFS('Asset Register'!$H$5:$H$101,'Asset Register'!$L$5:$L$101,$A10,'Asset Register'!$M$5:$M$101,"Personal")</f>
        <v>3610</v>
      </c>
      <c r="H10" s="25" t="n">
        <f aca="false">SUMIFS('Asset Register'!$K$5:$K$101,'Asset Register'!$L$5:$L$101,$A10,'Asset Register'!$M$5:$M$101,"Personal")</f>
        <v>1146.49</v>
      </c>
      <c r="I10" s="24" t="n">
        <f aca="false">COUNTIFS('Asset Register'!$L$5:$L$101,$A10,'Asset Register'!$R$5:$R$101,"Under Repair")</f>
        <v>0</v>
      </c>
    </row>
    <row r="11" customFormat="false" ht="15" hidden="false" customHeight="false" outlineLevel="0" collapsed="false">
      <c r="A11" s="20" t="s">
        <v>110</v>
      </c>
      <c r="B11" s="20" t="s">
        <v>359</v>
      </c>
      <c r="C11" s="20" t="s">
        <v>354</v>
      </c>
      <c r="D11" s="20" t="s">
        <v>111</v>
      </c>
      <c r="E11" s="21" t="n">
        <f aca="false">COUNTIFS('Asset Register'!$L$5:$L$101,$A11,'Asset Register'!$M$5:$M$101,"Personal")</f>
        <v>5</v>
      </c>
      <c r="F11" s="21" t="n">
        <f aca="false">COUNTIFS('Asset Register'!$L$5:$L$101,$A11,'Asset Register'!$M$5:$M$101,"Shared (custodian)")</f>
        <v>0</v>
      </c>
      <c r="G11" s="22" t="n">
        <f aca="false">SUMIFS('Asset Register'!$H$5:$H$101,'Asset Register'!$L$5:$L$101,$A11,'Asset Register'!$M$5:$M$101,"Personal")</f>
        <v>3440</v>
      </c>
      <c r="H11" s="22" t="n">
        <f aca="false">SUMIFS('Asset Register'!$K$5:$K$101,'Asset Register'!$L$5:$L$101,$A11,'Asset Register'!$M$5:$M$101,"Personal")</f>
        <v>228.03</v>
      </c>
      <c r="I11" s="21" t="n">
        <f aca="false">COUNTIFS('Asset Register'!$L$5:$L$101,$A11,'Asset Register'!$R$5:$R$101,"Under Repair")</f>
        <v>0</v>
      </c>
    </row>
    <row r="12" customFormat="false" ht="15" hidden="false" customHeight="false" outlineLevel="0" collapsed="false">
      <c r="A12" s="23" t="s">
        <v>128</v>
      </c>
      <c r="B12" s="23" t="s">
        <v>360</v>
      </c>
      <c r="C12" s="23" t="s">
        <v>354</v>
      </c>
      <c r="D12" s="23" t="s">
        <v>32</v>
      </c>
      <c r="E12" s="24" t="n">
        <f aca="false">COUNTIFS('Asset Register'!$L$5:$L$101,$A12,'Asset Register'!$M$5:$M$101,"Personal")</f>
        <v>4</v>
      </c>
      <c r="F12" s="24" t="n">
        <f aca="false">COUNTIFS('Asset Register'!$L$5:$L$101,$A12,'Asset Register'!$M$5:$M$101,"Shared (custodian)")</f>
        <v>0</v>
      </c>
      <c r="G12" s="25" t="n">
        <f aca="false">SUMIFS('Asset Register'!$H$5:$H$101,'Asset Register'!$L$5:$L$101,$A12,'Asset Register'!$M$5:$M$101,"Personal")</f>
        <v>3610</v>
      </c>
      <c r="H12" s="25" t="n">
        <f aca="false">SUMIFS('Asset Register'!$K$5:$K$101,'Asset Register'!$L$5:$L$101,$A12,'Asset Register'!$M$5:$M$101,"Personal")</f>
        <v>1158.79</v>
      </c>
      <c r="I12" s="24" t="n">
        <f aca="false">COUNTIFS('Asset Register'!$L$5:$L$101,$A12,'Asset Register'!$R$5:$R$101,"Under Repair")</f>
        <v>0</v>
      </c>
    </row>
    <row r="13" customFormat="false" ht="15" hidden="false" customHeight="false" outlineLevel="0" collapsed="false">
      <c r="A13" s="20" t="s">
        <v>139</v>
      </c>
      <c r="B13" s="20" t="s">
        <v>361</v>
      </c>
      <c r="C13" s="20" t="s">
        <v>362</v>
      </c>
      <c r="D13" s="20" t="s">
        <v>32</v>
      </c>
      <c r="E13" s="21" t="n">
        <f aca="false">COUNTIFS('Asset Register'!$L$5:$L$101,$A13,'Asset Register'!$M$5:$M$101,"Personal")</f>
        <v>4</v>
      </c>
      <c r="F13" s="21" t="n">
        <f aca="false">COUNTIFS('Asset Register'!$L$5:$L$101,$A13,'Asset Register'!$M$5:$M$101,"Shared (custodian)")</f>
        <v>0</v>
      </c>
      <c r="G13" s="22" t="n">
        <f aca="false">SUMIFS('Asset Register'!$H$5:$H$101,'Asset Register'!$L$5:$L$101,$A13,'Asset Register'!$M$5:$M$101,"Personal")</f>
        <v>3369</v>
      </c>
      <c r="H13" s="22" t="n">
        <f aca="false">SUMIFS('Asset Register'!$K$5:$K$101,'Asset Register'!$L$5:$L$101,$A13,'Asset Register'!$M$5:$M$101,"Personal")</f>
        <v>919.49</v>
      </c>
      <c r="I13" s="21" t="n">
        <f aca="false">COUNTIFS('Asset Register'!$L$5:$L$101,$A13,'Asset Register'!$R$5:$R$101,"Under Repair")</f>
        <v>0</v>
      </c>
    </row>
    <row r="14" customFormat="false" ht="15" hidden="false" customHeight="false" outlineLevel="0" collapsed="false">
      <c r="A14" s="23" t="s">
        <v>148</v>
      </c>
      <c r="B14" s="23" t="s">
        <v>363</v>
      </c>
      <c r="C14" s="23" t="s">
        <v>362</v>
      </c>
      <c r="D14" s="23" t="s">
        <v>149</v>
      </c>
      <c r="E14" s="24" t="n">
        <f aca="false">COUNTIFS('Asset Register'!$L$5:$L$101,$A14,'Asset Register'!$M$5:$M$101,"Personal")</f>
        <v>3</v>
      </c>
      <c r="F14" s="24" t="n">
        <f aca="false">COUNTIFS('Asset Register'!$L$5:$L$101,$A14,'Asset Register'!$M$5:$M$101,"Shared (custodian)")</f>
        <v>0</v>
      </c>
      <c r="G14" s="25" t="n">
        <f aca="false">SUMIFS('Asset Register'!$H$5:$H$101,'Asset Register'!$L$5:$L$101,$A14,'Asset Register'!$M$5:$M$101,"Personal")</f>
        <v>3049</v>
      </c>
      <c r="H14" s="25" t="n">
        <f aca="false">SUMIFS('Asset Register'!$K$5:$K$101,'Asset Register'!$L$5:$L$101,$A14,'Asset Register'!$M$5:$M$101,"Personal")</f>
        <v>230.95</v>
      </c>
      <c r="I14" s="24" t="n">
        <f aca="false">COUNTIFS('Asset Register'!$L$5:$L$101,$A14,'Asset Register'!$R$5:$R$101,"Under Repair")</f>
        <v>0</v>
      </c>
    </row>
    <row r="15" customFormat="false" ht="15" hidden="false" customHeight="false" outlineLevel="0" collapsed="false">
      <c r="A15" s="20" t="s">
        <v>156</v>
      </c>
      <c r="B15" s="20" t="s">
        <v>364</v>
      </c>
      <c r="C15" s="20" t="s">
        <v>362</v>
      </c>
      <c r="D15" s="20" t="s">
        <v>149</v>
      </c>
      <c r="E15" s="21" t="n">
        <f aca="false">COUNTIFS('Asset Register'!$L$5:$L$101,$A15,'Asset Register'!$M$5:$M$101,"Personal")</f>
        <v>3</v>
      </c>
      <c r="F15" s="21" t="n">
        <f aca="false">COUNTIFS('Asset Register'!$L$5:$L$101,$A15,'Asset Register'!$M$5:$M$101,"Shared (custodian)")</f>
        <v>0</v>
      </c>
      <c r="G15" s="22" t="n">
        <f aca="false">SUMIFS('Asset Register'!$H$5:$H$101,'Asset Register'!$L$5:$L$101,$A15,'Asset Register'!$M$5:$M$101,"Personal")</f>
        <v>3049</v>
      </c>
      <c r="H15" s="22" t="n">
        <f aca="false">SUMIFS('Asset Register'!$K$5:$K$101,'Asset Register'!$L$5:$L$101,$A15,'Asset Register'!$M$5:$M$101,"Personal")</f>
        <v>507.4</v>
      </c>
      <c r="I15" s="21" t="n">
        <f aca="false">COUNTIFS('Asset Register'!$L$5:$L$101,$A15,'Asset Register'!$R$5:$R$101,"Under Repair")</f>
        <v>0</v>
      </c>
    </row>
    <row r="16" customFormat="false" ht="15" hidden="false" customHeight="false" outlineLevel="0" collapsed="false">
      <c r="A16" s="23" t="s">
        <v>163</v>
      </c>
      <c r="B16" s="23" t="s">
        <v>365</v>
      </c>
      <c r="C16" s="23" t="s">
        <v>366</v>
      </c>
      <c r="D16" s="23" t="s">
        <v>32</v>
      </c>
      <c r="E16" s="24" t="n">
        <f aca="false">COUNTIFS('Asset Register'!$L$5:$L$101,$A16,'Asset Register'!$M$5:$M$101,"Personal")</f>
        <v>3</v>
      </c>
      <c r="F16" s="24" t="n">
        <f aca="false">COUNTIFS('Asset Register'!$L$5:$L$101,$A16,'Asset Register'!$M$5:$M$101,"Shared (custodian)")</f>
        <v>0</v>
      </c>
      <c r="G16" s="25" t="n">
        <f aca="false">SUMIFS('Asset Register'!$H$5:$H$101,'Asset Register'!$L$5:$L$101,$A16,'Asset Register'!$M$5:$M$101,"Personal")</f>
        <v>2320</v>
      </c>
      <c r="H16" s="25" t="n">
        <f aca="false">SUMIFS('Asset Register'!$K$5:$K$101,'Asset Register'!$L$5:$L$101,$A16,'Asset Register'!$M$5:$M$101,"Personal")</f>
        <v>869.05</v>
      </c>
      <c r="I16" s="24" t="n">
        <f aca="false">COUNTIFS('Asset Register'!$L$5:$L$101,$A16,'Asset Register'!$R$5:$R$101,"Under Repair")</f>
        <v>0</v>
      </c>
    </row>
    <row r="17" customFormat="false" ht="15" hidden="false" customHeight="false" outlineLevel="0" collapsed="false">
      <c r="A17" s="20" t="s">
        <v>170</v>
      </c>
      <c r="B17" s="20" t="s">
        <v>367</v>
      </c>
      <c r="C17" s="20" t="s">
        <v>366</v>
      </c>
      <c r="D17" s="20" t="s">
        <v>111</v>
      </c>
      <c r="E17" s="21" t="n">
        <f aca="false">COUNTIFS('Asset Register'!$L$5:$L$101,$A17,'Asset Register'!$M$5:$M$101,"Personal")</f>
        <v>4</v>
      </c>
      <c r="F17" s="21" t="n">
        <f aca="false">COUNTIFS('Asset Register'!$L$5:$L$101,$A17,'Asset Register'!$M$5:$M$101,"Shared (custodian)")</f>
        <v>0</v>
      </c>
      <c r="G17" s="22" t="n">
        <f aca="false">SUMIFS('Asset Register'!$H$5:$H$101,'Asset Register'!$L$5:$L$101,$A17,'Asset Register'!$M$5:$M$101,"Personal")</f>
        <v>2150</v>
      </c>
      <c r="H17" s="22" t="n">
        <f aca="false">SUMIFS('Asset Register'!$K$5:$K$101,'Asset Register'!$L$5:$L$101,$A17,'Asset Register'!$M$5:$M$101,"Personal")</f>
        <v>170.65</v>
      </c>
      <c r="I17" s="21" t="n">
        <f aca="false">COUNTIFS('Asset Register'!$L$5:$L$101,$A17,'Asset Register'!$R$5:$R$101,"Under Repair")</f>
        <v>0</v>
      </c>
    </row>
    <row r="18" customFormat="false" ht="15" hidden="false" customHeight="false" outlineLevel="0" collapsed="false">
      <c r="A18" s="23" t="s">
        <v>179</v>
      </c>
      <c r="B18" s="23" t="s">
        <v>368</v>
      </c>
      <c r="C18" s="23" t="s">
        <v>352</v>
      </c>
      <c r="D18" s="23" t="s">
        <v>32</v>
      </c>
      <c r="E18" s="24" t="n">
        <f aca="false">COUNTIFS('Asset Register'!$L$5:$L$101,$A18,'Asset Register'!$M$5:$M$101,"Personal")</f>
        <v>3</v>
      </c>
      <c r="F18" s="24" t="n">
        <f aca="false">COUNTIFS('Asset Register'!$L$5:$L$101,$A18,'Asset Register'!$M$5:$M$101,"Shared (custodian)")</f>
        <v>0</v>
      </c>
      <c r="G18" s="25" t="n">
        <f aca="false">SUMIFS('Asset Register'!$H$5:$H$101,'Asset Register'!$L$5:$L$101,$A18,'Asset Register'!$M$5:$M$101,"Personal")</f>
        <v>2320</v>
      </c>
      <c r="H18" s="25" t="n">
        <f aca="false">SUMIFS('Asset Register'!$K$5:$K$101,'Asset Register'!$L$5:$L$101,$A18,'Asset Register'!$M$5:$M$101,"Personal")</f>
        <v>401.87</v>
      </c>
      <c r="I18" s="24" t="n">
        <f aca="false">COUNTIFS('Asset Register'!$L$5:$L$101,$A18,'Asset Register'!$R$5:$R$101,"Under Repair")</f>
        <v>0</v>
      </c>
    </row>
    <row r="19" customFormat="false" ht="15" hidden="false" customHeight="false" outlineLevel="0" collapsed="false">
      <c r="A19" s="20" t="s">
        <v>186</v>
      </c>
      <c r="B19" s="20" t="s">
        <v>369</v>
      </c>
      <c r="C19" s="20" t="s">
        <v>352</v>
      </c>
      <c r="D19" s="20" t="s">
        <v>32</v>
      </c>
      <c r="E19" s="21" t="n">
        <f aca="false">COUNTIFS('Asset Register'!$L$5:$L$101,$A19,'Asset Register'!$M$5:$M$101,"Personal")</f>
        <v>3</v>
      </c>
      <c r="F19" s="21" t="n">
        <f aca="false">COUNTIFS('Asset Register'!$L$5:$L$101,$A19,'Asset Register'!$M$5:$M$101,"Shared (custodian)")</f>
        <v>0</v>
      </c>
      <c r="G19" s="22" t="n">
        <f aca="false">SUMIFS('Asset Register'!$H$5:$H$101,'Asset Register'!$L$5:$L$101,$A19,'Asset Register'!$M$5:$M$101,"Personal")</f>
        <v>2320</v>
      </c>
      <c r="H19" s="22" t="n">
        <f aca="false">SUMIFS('Asset Register'!$K$5:$K$101,'Asset Register'!$L$5:$L$101,$A19,'Asset Register'!$M$5:$M$101,"Personal")</f>
        <v>514.33</v>
      </c>
      <c r="I19" s="21" t="n">
        <f aca="false">COUNTIFS('Asset Register'!$L$5:$L$101,$A19,'Asset Register'!$R$5:$R$101,"Under Repair")</f>
        <v>0</v>
      </c>
    </row>
    <row r="20" customFormat="false" ht="15" hidden="false" customHeight="false" outlineLevel="0" collapsed="false">
      <c r="A20" s="23" t="s">
        <v>193</v>
      </c>
      <c r="B20" s="23" t="s">
        <v>370</v>
      </c>
      <c r="C20" s="23" t="s">
        <v>356</v>
      </c>
      <c r="D20" s="23" t="s">
        <v>32</v>
      </c>
      <c r="E20" s="24" t="n">
        <f aca="false">COUNTIFS('Asset Register'!$L$5:$L$101,$A20,'Asset Register'!$M$5:$M$101,"Personal")</f>
        <v>3</v>
      </c>
      <c r="F20" s="24" t="n">
        <f aca="false">COUNTIFS('Asset Register'!$L$5:$L$101,$A20,'Asset Register'!$M$5:$M$101,"Shared (custodian)")</f>
        <v>0</v>
      </c>
      <c r="G20" s="25" t="n">
        <f aca="false">SUMIFS('Asset Register'!$H$5:$H$101,'Asset Register'!$L$5:$L$101,$A20,'Asset Register'!$M$5:$M$101,"Personal")</f>
        <v>2320</v>
      </c>
      <c r="H20" s="25" t="n">
        <f aca="false">SUMIFS('Asset Register'!$K$5:$K$101,'Asset Register'!$L$5:$L$101,$A20,'Asset Register'!$M$5:$M$101,"Personal")</f>
        <v>274.49</v>
      </c>
      <c r="I20" s="24" t="n">
        <f aca="false">COUNTIFS('Asset Register'!$L$5:$L$101,$A20,'Asset Register'!$R$5:$R$101,"Under Repair")</f>
        <v>0</v>
      </c>
    </row>
    <row r="21" customFormat="false" ht="15" hidden="false" customHeight="false" outlineLevel="0" collapsed="false">
      <c r="A21" s="20" t="s">
        <v>200</v>
      </c>
      <c r="B21" s="20" t="s">
        <v>371</v>
      </c>
      <c r="C21" s="20" t="s">
        <v>372</v>
      </c>
      <c r="D21" s="20" t="s">
        <v>32</v>
      </c>
      <c r="E21" s="21" t="n">
        <f aca="false">COUNTIFS('Asset Register'!$L$5:$L$101,$A21,'Asset Register'!$M$5:$M$101,"Personal")</f>
        <v>4</v>
      </c>
      <c r="F21" s="21" t="n">
        <f aca="false">COUNTIFS('Asset Register'!$L$5:$L$101,$A21,'Asset Register'!$M$5:$M$101,"Shared (custodian)")</f>
        <v>9</v>
      </c>
      <c r="G21" s="22" t="n">
        <f aca="false">SUMIFS('Asset Register'!$H$5:$H$101,'Asset Register'!$L$5:$L$101,$A21,'Asset Register'!$M$5:$M$101,"Personal")</f>
        <v>3319</v>
      </c>
      <c r="H21" s="22" t="n">
        <f aca="false">SUMIFS('Asset Register'!$K$5:$K$101,'Asset Register'!$L$5:$L$101,$A21,'Asset Register'!$M$5:$M$101,"Personal")</f>
        <v>624.51</v>
      </c>
      <c r="I21" s="21" t="n">
        <f aca="false">COUNTIFS('Asset Register'!$L$5:$L$101,$A21,'Asset Register'!$R$5:$R$101,"Under Repair")</f>
        <v>0</v>
      </c>
    </row>
    <row r="22" customFormat="false" ht="15" hidden="false" customHeight="false" outlineLevel="0" collapsed="false">
      <c r="A22" s="23" t="s">
        <v>209</v>
      </c>
      <c r="B22" s="23" t="s">
        <v>373</v>
      </c>
      <c r="C22" s="23" t="s">
        <v>372</v>
      </c>
      <c r="D22" s="23" t="s">
        <v>32</v>
      </c>
      <c r="E22" s="24" t="n">
        <f aca="false">COUNTIFS('Asset Register'!$L$5:$L$101,$A22,'Asset Register'!$M$5:$M$101,"Personal")</f>
        <v>3</v>
      </c>
      <c r="F22" s="24" t="n">
        <f aca="false">COUNTIFS('Asset Register'!$L$5:$L$101,$A22,'Asset Register'!$M$5:$M$101,"Shared (custodian)")</f>
        <v>2</v>
      </c>
      <c r="G22" s="25" t="n">
        <f aca="false">SUMIFS('Asset Register'!$H$5:$H$101,'Asset Register'!$L$5:$L$101,$A22,'Asset Register'!$M$5:$M$101,"Personal")</f>
        <v>2320</v>
      </c>
      <c r="H22" s="25" t="n">
        <f aca="false">SUMIFS('Asset Register'!$K$5:$K$101,'Asset Register'!$L$5:$L$101,$A22,'Asset Register'!$M$5:$M$101,"Personal")</f>
        <v>372.73</v>
      </c>
      <c r="I22" s="24" t="n">
        <f aca="false">COUNTIFS('Asset Register'!$L$5:$L$101,$A22,'Asset Register'!$R$5:$R$101,"Under Repair")</f>
        <v>0</v>
      </c>
    </row>
    <row r="23" customFormat="false" ht="15" hidden="false" customHeight="false" outlineLevel="0" collapsed="false">
      <c r="A23" s="20" t="s">
        <v>216</v>
      </c>
      <c r="B23" s="20" t="s">
        <v>374</v>
      </c>
      <c r="C23" s="20" t="s">
        <v>354</v>
      </c>
      <c r="D23" s="20" t="s">
        <v>32</v>
      </c>
      <c r="E23" s="21" t="n">
        <f aca="false">COUNTIFS('Asset Register'!$L$5:$L$101,$A23,'Asset Register'!$M$5:$M$101,"Personal")</f>
        <v>4</v>
      </c>
      <c r="F23" s="21" t="n">
        <f aca="false">COUNTIFS('Asset Register'!$L$5:$L$101,$A23,'Asset Register'!$M$5:$M$101,"Shared (custodian)")</f>
        <v>6</v>
      </c>
      <c r="G23" s="22" t="n">
        <f aca="false">SUMIFS('Asset Register'!$H$5:$H$101,'Asset Register'!$L$5:$L$101,$A23,'Asset Register'!$M$5:$M$101,"Personal")</f>
        <v>3610</v>
      </c>
      <c r="H23" s="22" t="n">
        <f aca="false">SUMIFS('Asset Register'!$K$5:$K$101,'Asset Register'!$L$5:$L$101,$A23,'Asset Register'!$M$5:$M$101,"Personal")</f>
        <v>947.98</v>
      </c>
      <c r="I23" s="21" t="n">
        <f aca="false">COUNTIFS('Asset Register'!$L$5:$L$101,$A23,'Asset Register'!$R$5:$R$101,"Under Repair")</f>
        <v>0</v>
      </c>
    </row>
    <row r="24" customFormat="false" ht="15" hidden="false" customHeight="false" outlineLevel="0" collapsed="false">
      <c r="A24" s="23" t="s">
        <v>225</v>
      </c>
      <c r="B24" s="23" t="s">
        <v>375</v>
      </c>
      <c r="C24" s="23" t="s">
        <v>366</v>
      </c>
      <c r="D24" s="23" t="s">
        <v>111</v>
      </c>
      <c r="E24" s="24" t="n">
        <f aca="false">COUNTIFS('Asset Register'!$L$5:$L$101,$A24,'Asset Register'!$M$5:$M$101,"Personal")</f>
        <v>4</v>
      </c>
      <c r="F24" s="24" t="n">
        <f aca="false">COUNTIFS('Asset Register'!$L$5:$L$101,$A24,'Asset Register'!$M$5:$M$101,"Shared (custodian)")</f>
        <v>0</v>
      </c>
      <c r="G24" s="25" t="n">
        <f aca="false">SUMIFS('Asset Register'!$H$5:$H$101,'Asset Register'!$L$5:$L$101,$A24,'Asset Register'!$M$5:$M$101,"Personal")</f>
        <v>2150</v>
      </c>
      <c r="H24" s="25" t="n">
        <f aca="false">SUMIFS('Asset Register'!$K$5:$K$101,'Asset Register'!$L$5:$L$101,$A24,'Asset Register'!$M$5:$M$101,"Personal")</f>
        <v>820.69</v>
      </c>
      <c r="I24" s="24" t="n">
        <f aca="false">COUNTIFS('Asset Register'!$L$5:$L$101,$A24,'Asset Register'!$R$5:$R$101,"Under Repair")</f>
        <v>0</v>
      </c>
    </row>
    <row r="25" customFormat="false" ht="15" hidden="false" customHeight="false" outlineLevel="0" collapsed="false">
      <c r="A25" s="18" t="s">
        <v>339</v>
      </c>
      <c r="B25" s="18"/>
      <c r="C25" s="18"/>
      <c r="D25" s="18"/>
      <c r="E25" s="26" t="n">
        <f aca="false">SUM(E5:E24)</f>
        <v>75</v>
      </c>
      <c r="F25" s="26" t="n">
        <f aca="false">SUM(F5:F24)</f>
        <v>18</v>
      </c>
      <c r="G25" s="19" t="n">
        <f aca="false">SUM(G5:G24)</f>
        <v>62233</v>
      </c>
      <c r="H25" s="19" t="n">
        <f aca="false">SUM(H5:H24)</f>
        <v>13610.67</v>
      </c>
      <c r="I25" s="26" t="n">
        <f aca="false">SUM(I5:I24)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376</v>
      </c>
    </row>
    <row r="2" customFormat="false" ht="15" hidden="false" customHeight="false" outlineLevel="0" collapsed="false">
      <c r="A2" s="2" t="s">
        <v>377</v>
      </c>
    </row>
    <row r="4" customFormat="false" ht="33.75" hidden="false" customHeight="true" outlineLevel="0" collapsed="false">
      <c r="A4" s="3" t="s">
        <v>3</v>
      </c>
      <c r="B4" s="3" t="s">
        <v>378</v>
      </c>
      <c r="C4" s="3" t="s">
        <v>34</v>
      </c>
      <c r="D4" s="3" t="s">
        <v>328</v>
      </c>
      <c r="E4" s="3" t="s">
        <v>92</v>
      </c>
      <c r="F4" s="3" t="s">
        <v>338</v>
      </c>
      <c r="G4" s="3" t="s">
        <v>379</v>
      </c>
      <c r="H4" s="3" t="s">
        <v>11</v>
      </c>
      <c r="I4" s="3" t="s">
        <v>12</v>
      </c>
    </row>
    <row r="5" customFormat="false" ht="15" hidden="false" customHeight="false" outlineLevel="0" collapsed="false">
      <c r="A5" s="20" t="s">
        <v>278</v>
      </c>
      <c r="B5" s="21" t="n">
        <f aca="false">COUNTIF('Asset Register'!$B$5:$B$101,$A5)</f>
        <v>3</v>
      </c>
      <c r="C5" s="21" t="n">
        <f aca="false">COUNTIFS('Asset Register'!$B$5:$B$101,$A5,'Asset Register'!$R$5:$R$101,"In Use")</f>
        <v>3</v>
      </c>
      <c r="D5" s="21" t="n">
        <f aca="false">COUNTIFS('Asset Register'!$B$5:$B$101,$A5,'Asset Register'!$R$5:$R$101,"In Stock")</f>
        <v>0</v>
      </c>
      <c r="E5" s="21" t="n">
        <f aca="false">COUNTIFS('Asset Register'!$B$5:$B$101,$A5,'Asset Register'!$R$5:$R$101,"Under Repair")</f>
        <v>0</v>
      </c>
      <c r="F5" s="21" t="n">
        <f aca="false">COUNTIFS('Asset Register'!$B$5:$B$101,$A5,'Asset Register'!$R$5:$R$101,"Retired")</f>
        <v>0</v>
      </c>
      <c r="G5" s="22" t="n">
        <f aca="false">SUMIF('Asset Register'!$B$5:$B$101,$A5,'Asset Register'!$H$5:$H$101)</f>
        <v>5750</v>
      </c>
      <c r="H5" s="22" t="n">
        <f aca="false">SUMIF('Asset Register'!$B$5:$B$101,$A5,'Asset Register'!$J$5:$J$101)</f>
        <v>3875.05</v>
      </c>
      <c r="I5" s="22" t="n">
        <f aca="false">SUMIF('Asset Register'!$B$5:$B$101,$A5,'Asset Register'!$K$5:$K$101)</f>
        <v>1874.95</v>
      </c>
    </row>
    <row r="6" customFormat="false" ht="15" hidden="false" customHeight="false" outlineLevel="0" collapsed="false">
      <c r="A6" s="23" t="s">
        <v>303</v>
      </c>
      <c r="B6" s="24" t="n">
        <f aca="false">COUNTIF('Asset Register'!$B$5:$B$101,$A6)</f>
        <v>2</v>
      </c>
      <c r="C6" s="24" t="n">
        <f aca="false">COUNTIFS('Asset Register'!$B$5:$B$101,$A6,'Asset Register'!$R$5:$R$101,"In Use")</f>
        <v>2</v>
      </c>
      <c r="D6" s="24" t="n">
        <f aca="false">COUNTIFS('Asset Register'!$B$5:$B$101,$A6,'Asset Register'!$R$5:$R$101,"In Stock")</f>
        <v>0</v>
      </c>
      <c r="E6" s="24" t="n">
        <f aca="false">COUNTIFS('Asset Register'!$B$5:$B$101,$A6,'Asset Register'!$R$5:$R$101,"Under Repair")</f>
        <v>0</v>
      </c>
      <c r="F6" s="24" t="n">
        <f aca="false">COUNTIFS('Asset Register'!$B$5:$B$101,$A6,'Asset Register'!$R$5:$R$101,"Retired")</f>
        <v>0</v>
      </c>
      <c r="G6" s="25" t="n">
        <f aca="false">SUMIF('Asset Register'!$B$5:$B$101,$A6,'Asset Register'!$H$5:$H$101)</f>
        <v>3700</v>
      </c>
      <c r="H6" s="25" t="n">
        <f aca="false">SUMIF('Asset Register'!$B$5:$B$101,$A6,'Asset Register'!$J$5:$J$101)</f>
        <v>2429.62</v>
      </c>
      <c r="I6" s="25" t="n">
        <f aca="false">SUMIF('Asset Register'!$B$5:$B$101,$A6,'Asset Register'!$K$5:$K$101)</f>
        <v>1270.38</v>
      </c>
    </row>
    <row r="7" customFormat="false" ht="15" hidden="false" customHeight="false" outlineLevel="0" collapsed="false">
      <c r="A7" s="20" t="s">
        <v>71</v>
      </c>
      <c r="B7" s="21" t="n">
        <f aca="false">COUNTIF('Asset Register'!$B$5:$B$101,$A7)</f>
        <v>6</v>
      </c>
      <c r="C7" s="21" t="n">
        <f aca="false">COUNTIFS('Asset Register'!$B$5:$B$101,$A7,'Asset Register'!$R$5:$R$101,"In Use")</f>
        <v>6</v>
      </c>
      <c r="D7" s="21" t="n">
        <f aca="false">COUNTIFS('Asset Register'!$B$5:$B$101,$A7,'Asset Register'!$R$5:$R$101,"In Stock")</f>
        <v>0</v>
      </c>
      <c r="E7" s="21" t="n">
        <f aca="false">COUNTIFS('Asset Register'!$B$5:$B$101,$A7,'Asset Register'!$R$5:$R$101,"Under Repair")</f>
        <v>0</v>
      </c>
      <c r="F7" s="21" t="n">
        <f aca="false">COUNTIFS('Asset Register'!$B$5:$B$101,$A7,'Asset Register'!$R$5:$R$101,"Retired")</f>
        <v>0</v>
      </c>
      <c r="G7" s="22" t="n">
        <f aca="false">SUMIF('Asset Register'!$B$5:$B$101,$A7,'Asset Register'!$H$5:$H$101)</f>
        <v>1440</v>
      </c>
      <c r="H7" s="22" t="n">
        <f aca="false">SUMIF('Asset Register'!$B$5:$B$101,$A7,'Asset Register'!$J$5:$J$101)</f>
        <v>863.68</v>
      </c>
      <c r="I7" s="22" t="n">
        <f aca="false">SUMIF('Asset Register'!$B$5:$B$101,$A7,'Asset Register'!$K$5:$K$101)</f>
        <v>576.32</v>
      </c>
    </row>
    <row r="8" customFormat="false" ht="15" hidden="false" customHeight="false" outlineLevel="0" collapsed="false">
      <c r="A8" s="23" t="s">
        <v>48</v>
      </c>
      <c r="B8" s="24" t="n">
        <f aca="false">COUNTIF('Asset Register'!$B$5:$B$101,$A8)</f>
        <v>22</v>
      </c>
      <c r="C8" s="24" t="n">
        <f aca="false">COUNTIFS('Asset Register'!$B$5:$B$101,$A8,'Asset Register'!$R$5:$R$101,"In Use")</f>
        <v>22</v>
      </c>
      <c r="D8" s="24" t="n">
        <f aca="false">COUNTIFS('Asset Register'!$B$5:$B$101,$A8,'Asset Register'!$R$5:$R$101,"In Stock")</f>
        <v>0</v>
      </c>
      <c r="E8" s="24" t="n">
        <f aca="false">COUNTIFS('Asset Register'!$B$5:$B$101,$A8,'Asset Register'!$R$5:$R$101,"Under Repair")</f>
        <v>0</v>
      </c>
      <c r="F8" s="24" t="n">
        <f aca="false">COUNTIFS('Asset Register'!$B$5:$B$101,$A8,'Asset Register'!$R$5:$R$101,"Retired")</f>
        <v>0</v>
      </c>
      <c r="G8" s="25" t="n">
        <f aca="false">SUMIF('Asset Register'!$B$5:$B$101,$A8,'Asset Register'!$H$5:$H$101)</f>
        <v>18250</v>
      </c>
      <c r="H8" s="25" t="n">
        <f aca="false">SUMIF('Asset Register'!$B$5:$B$101,$A8,'Asset Register'!$J$5:$J$101)</f>
        <v>13958.56</v>
      </c>
      <c r="I8" s="25" t="n">
        <f aca="false">SUMIF('Asset Register'!$B$5:$B$101,$A8,'Asset Register'!$K$5:$K$101)</f>
        <v>4291.44</v>
      </c>
    </row>
    <row r="9" customFormat="false" ht="15" hidden="false" customHeight="false" outlineLevel="0" collapsed="false">
      <c r="A9" s="20" t="s">
        <v>117</v>
      </c>
      <c r="B9" s="21" t="n">
        <f aca="false">COUNTIF('Asset Register'!$B$5:$B$101,$A9)</f>
        <v>3</v>
      </c>
      <c r="C9" s="21" t="n">
        <f aca="false">COUNTIFS('Asset Register'!$B$5:$B$101,$A9,'Asset Register'!$R$5:$R$101,"In Use")</f>
        <v>3</v>
      </c>
      <c r="D9" s="21" t="n">
        <f aca="false">COUNTIFS('Asset Register'!$B$5:$B$101,$A9,'Asset Register'!$R$5:$R$101,"In Stock")</f>
        <v>0</v>
      </c>
      <c r="E9" s="21" t="n">
        <f aca="false">COUNTIFS('Asset Register'!$B$5:$B$101,$A9,'Asset Register'!$R$5:$R$101,"Under Repair")</f>
        <v>0</v>
      </c>
      <c r="F9" s="21" t="n">
        <f aca="false">COUNTIFS('Asset Register'!$B$5:$B$101,$A9,'Asset Register'!$R$5:$R$101,"Retired")</f>
        <v>0</v>
      </c>
      <c r="G9" s="22" t="n">
        <f aca="false">SUMIF('Asset Register'!$B$5:$B$101,$A9,'Asset Register'!$H$5:$H$101)</f>
        <v>540</v>
      </c>
      <c r="H9" s="22" t="n">
        <f aca="false">SUMIF('Asset Register'!$B$5:$B$101,$A9,'Asset Register'!$J$5:$J$101)</f>
        <v>519.84</v>
      </c>
      <c r="I9" s="22" t="n">
        <f aca="false">SUMIF('Asset Register'!$B$5:$B$101,$A9,'Asset Register'!$K$5:$K$101)</f>
        <v>20.16</v>
      </c>
    </row>
    <row r="10" customFormat="false" ht="15" hidden="false" customHeight="false" outlineLevel="0" collapsed="false">
      <c r="A10" s="23" t="s">
        <v>25</v>
      </c>
      <c r="B10" s="24" t="n">
        <f aca="false">COUNTIF('Asset Register'!$B$5:$B$101,$A10)</f>
        <v>24</v>
      </c>
      <c r="C10" s="24" t="n">
        <f aca="false">COUNTIFS('Asset Register'!$B$5:$B$101,$A10,'Asset Register'!$R$5:$R$101,"In Use")</f>
        <v>20</v>
      </c>
      <c r="D10" s="24" t="n">
        <f aca="false">COUNTIFS('Asset Register'!$B$5:$B$101,$A10,'Asset Register'!$R$5:$R$101,"In Stock")</f>
        <v>2</v>
      </c>
      <c r="E10" s="24" t="n">
        <f aca="false">COUNTIFS('Asset Register'!$B$5:$B$101,$A10,'Asset Register'!$R$5:$R$101,"Under Repair")</f>
        <v>1</v>
      </c>
      <c r="F10" s="24" t="n">
        <f aca="false">COUNTIFS('Asset Register'!$B$5:$B$101,$A10,'Asset Register'!$R$5:$R$101,"Retired")</f>
        <v>1</v>
      </c>
      <c r="G10" s="25" t="n">
        <f aca="false">SUMIF('Asset Register'!$B$5:$B$101,$A10,'Asset Register'!$H$5:$H$101)</f>
        <v>39450</v>
      </c>
      <c r="H10" s="25" t="n">
        <f aca="false">SUMIF('Asset Register'!$B$5:$B$101,$A10,'Asset Register'!$J$5:$J$101)</f>
        <v>29870.34</v>
      </c>
      <c r="I10" s="25" t="n">
        <f aca="false">SUMIF('Asset Register'!$B$5:$B$101,$A10,'Asset Register'!$K$5:$K$101)</f>
        <v>9579.66</v>
      </c>
    </row>
    <row r="11" customFormat="false" ht="15" hidden="false" customHeight="false" outlineLevel="0" collapsed="false">
      <c r="A11" s="20" t="s">
        <v>41</v>
      </c>
      <c r="B11" s="21" t="n">
        <f aca="false">COUNTIF('Asset Register'!$B$5:$B$101,$A11)</f>
        <v>7</v>
      </c>
      <c r="C11" s="21" t="n">
        <f aca="false">COUNTIFS('Asset Register'!$B$5:$B$101,$A11,'Asset Register'!$R$5:$R$101,"In Use")</f>
        <v>7</v>
      </c>
      <c r="D11" s="21" t="n">
        <f aca="false">COUNTIFS('Asset Register'!$B$5:$B$101,$A11,'Asset Register'!$R$5:$R$101,"In Stock")</f>
        <v>0</v>
      </c>
      <c r="E11" s="21" t="n">
        <f aca="false">COUNTIFS('Asset Register'!$B$5:$B$101,$A11,'Asset Register'!$R$5:$R$101,"Under Repair")</f>
        <v>0</v>
      </c>
      <c r="F11" s="21" t="n">
        <f aca="false">COUNTIFS('Asset Register'!$B$5:$B$101,$A11,'Asset Register'!$R$5:$R$101,"Retired")</f>
        <v>0</v>
      </c>
      <c r="G11" s="22" t="n">
        <f aca="false">SUMIF('Asset Register'!$B$5:$B$101,$A11,'Asset Register'!$H$5:$H$101)</f>
        <v>6993</v>
      </c>
      <c r="H11" s="22" t="n">
        <f aca="false">SUMIF('Asset Register'!$B$5:$B$101,$A11,'Asset Register'!$J$5:$J$101)</f>
        <v>6050.1</v>
      </c>
      <c r="I11" s="22" t="n">
        <f aca="false">SUMIF('Asset Register'!$B$5:$B$101,$A11,'Asset Register'!$K$5:$K$101)</f>
        <v>942.9</v>
      </c>
    </row>
    <row r="12" customFormat="false" ht="15" hidden="false" customHeight="false" outlineLevel="0" collapsed="false">
      <c r="A12" s="23" t="s">
        <v>36</v>
      </c>
      <c r="B12" s="24" t="n">
        <f aca="false">COUNTIF('Asset Register'!$B$5:$B$101,$A12)</f>
        <v>19</v>
      </c>
      <c r="C12" s="24" t="n">
        <f aca="false">COUNTIFS('Asset Register'!$B$5:$B$101,$A12,'Asset Register'!$R$5:$R$101,"In Use")</f>
        <v>18</v>
      </c>
      <c r="D12" s="24" t="n">
        <f aca="false">COUNTIFS('Asset Register'!$B$5:$B$101,$A12,'Asset Register'!$R$5:$R$101,"In Stock")</f>
        <v>1</v>
      </c>
      <c r="E12" s="24" t="n">
        <f aca="false">COUNTIFS('Asset Register'!$B$5:$B$101,$A12,'Asset Register'!$R$5:$R$101,"Under Repair")</f>
        <v>0</v>
      </c>
      <c r="F12" s="24" t="n">
        <f aca="false">COUNTIFS('Asset Register'!$B$5:$B$101,$A12,'Asset Register'!$R$5:$R$101,"Retired")</f>
        <v>0</v>
      </c>
      <c r="G12" s="25" t="n">
        <f aca="false">SUMIF('Asset Register'!$B$5:$B$101,$A12,'Asset Register'!$H$5:$H$101)</f>
        <v>6080</v>
      </c>
      <c r="H12" s="25" t="n">
        <f aca="false">SUMIF('Asset Register'!$B$5:$B$101,$A12,'Asset Register'!$J$5:$J$101)</f>
        <v>4045.86</v>
      </c>
      <c r="I12" s="25" t="n">
        <f aca="false">SUMIF('Asset Register'!$B$5:$B$101,$A12,'Asset Register'!$K$5:$K$101)</f>
        <v>2034.14</v>
      </c>
    </row>
    <row r="13" customFormat="false" ht="15" hidden="false" customHeight="false" outlineLevel="0" collapsed="false">
      <c r="A13" s="20" t="s">
        <v>236</v>
      </c>
      <c r="B13" s="21" t="n">
        <f aca="false">COUNTIF('Asset Register'!$B$5:$B$101,$A13)</f>
        <v>7</v>
      </c>
      <c r="C13" s="21" t="n">
        <f aca="false">COUNTIFS('Asset Register'!$B$5:$B$101,$A13,'Asset Register'!$R$5:$R$101,"In Use")</f>
        <v>7</v>
      </c>
      <c r="D13" s="21" t="n">
        <f aca="false">COUNTIFS('Asset Register'!$B$5:$B$101,$A13,'Asset Register'!$R$5:$R$101,"In Stock")</f>
        <v>0</v>
      </c>
      <c r="E13" s="21" t="n">
        <f aca="false">COUNTIFS('Asset Register'!$B$5:$B$101,$A13,'Asset Register'!$R$5:$R$101,"Under Repair")</f>
        <v>0</v>
      </c>
      <c r="F13" s="21" t="n">
        <f aca="false">COUNTIFS('Asset Register'!$B$5:$B$101,$A13,'Asset Register'!$R$5:$R$101,"Retired")</f>
        <v>0</v>
      </c>
      <c r="G13" s="22" t="n">
        <f aca="false">SUMIF('Asset Register'!$B$5:$B$101,$A13,'Asset Register'!$H$5:$H$101)</f>
        <v>17530</v>
      </c>
      <c r="H13" s="22" t="n">
        <f aca="false">SUMIF('Asset Register'!$B$5:$B$101,$A13,'Asset Register'!$J$5:$J$101)</f>
        <v>14968.28</v>
      </c>
      <c r="I13" s="22" t="n">
        <f aca="false">SUMIF('Asset Register'!$B$5:$B$101,$A13,'Asset Register'!$K$5:$K$101)</f>
        <v>2561.72</v>
      </c>
    </row>
    <row r="14" customFormat="false" ht="15" hidden="false" customHeight="false" outlineLevel="0" collapsed="false">
      <c r="A14" s="23" t="s">
        <v>268</v>
      </c>
      <c r="B14" s="24" t="n">
        <f aca="false">COUNTIF('Asset Register'!$B$5:$B$101,$A14)</f>
        <v>2</v>
      </c>
      <c r="C14" s="24" t="n">
        <f aca="false">COUNTIFS('Asset Register'!$B$5:$B$101,$A14,'Asset Register'!$R$5:$R$101,"In Use")</f>
        <v>2</v>
      </c>
      <c r="D14" s="24" t="n">
        <f aca="false">COUNTIFS('Asset Register'!$B$5:$B$101,$A14,'Asset Register'!$R$5:$R$101,"In Stock")</f>
        <v>0</v>
      </c>
      <c r="E14" s="24" t="n">
        <f aca="false">COUNTIFS('Asset Register'!$B$5:$B$101,$A14,'Asset Register'!$R$5:$R$101,"Under Repair")</f>
        <v>0</v>
      </c>
      <c r="F14" s="24" t="n">
        <f aca="false">COUNTIFS('Asset Register'!$B$5:$B$101,$A14,'Asset Register'!$R$5:$R$101,"Retired")</f>
        <v>0</v>
      </c>
      <c r="G14" s="25" t="n">
        <f aca="false">SUMIF('Asset Register'!$B$5:$B$101,$A14,'Asset Register'!$H$5:$H$101)</f>
        <v>1160</v>
      </c>
      <c r="H14" s="25" t="n">
        <f aca="false">SUMIF('Asset Register'!$B$5:$B$101,$A14,'Asset Register'!$J$5:$J$101)</f>
        <v>820.46</v>
      </c>
      <c r="I14" s="25" t="n">
        <f aca="false">SUMIF('Asset Register'!$B$5:$B$101,$A14,'Asset Register'!$K$5:$K$101)</f>
        <v>339.54</v>
      </c>
    </row>
    <row r="15" customFormat="false" ht="15" hidden="false" customHeight="false" outlineLevel="0" collapsed="false">
      <c r="A15" s="20" t="s">
        <v>313</v>
      </c>
      <c r="B15" s="21" t="n">
        <f aca="false">COUNTIF('Asset Register'!$B$5:$B$101,$A15)</f>
        <v>2</v>
      </c>
      <c r="C15" s="21" t="n">
        <f aca="false">COUNTIFS('Asset Register'!$B$5:$B$101,$A15,'Asset Register'!$R$5:$R$101,"In Use")</f>
        <v>2</v>
      </c>
      <c r="D15" s="21" t="n">
        <f aca="false">COUNTIFS('Asset Register'!$B$5:$B$101,$A15,'Asset Register'!$R$5:$R$101,"In Stock")</f>
        <v>0</v>
      </c>
      <c r="E15" s="21" t="n">
        <f aca="false">COUNTIFS('Asset Register'!$B$5:$B$101,$A15,'Asset Register'!$R$5:$R$101,"Under Repair")</f>
        <v>0</v>
      </c>
      <c r="F15" s="21" t="n">
        <f aca="false">COUNTIFS('Asset Register'!$B$5:$B$101,$A15,'Asset Register'!$R$5:$R$101,"Retired")</f>
        <v>0</v>
      </c>
      <c r="G15" s="22" t="n">
        <f aca="false">SUMIF('Asset Register'!$B$5:$B$101,$A15,'Asset Register'!$H$5:$H$101)</f>
        <v>4600</v>
      </c>
      <c r="H15" s="22" t="n">
        <f aca="false">SUMIF('Asset Register'!$B$5:$B$101,$A15,'Asset Register'!$J$5:$J$101)</f>
        <v>2968.73</v>
      </c>
      <c r="I15" s="22" t="n">
        <f aca="false">SUMIF('Asset Register'!$B$5:$B$101,$A15,'Asset Register'!$K$5:$K$101)</f>
        <v>1631.27</v>
      </c>
    </row>
    <row r="16" customFormat="false" ht="15" hidden="false" customHeight="false" outlineLevel="0" collapsed="false">
      <c r="A16" s="18" t="s">
        <v>339</v>
      </c>
      <c r="B16" s="18" t="n">
        <f aca="false">SUM(B5:B15)</f>
        <v>97</v>
      </c>
      <c r="C16" s="18" t="n">
        <f aca="false">SUM(C5:C15)</f>
        <v>92</v>
      </c>
      <c r="D16" s="18" t="n">
        <f aca="false">SUM(D5:D15)</f>
        <v>3</v>
      </c>
      <c r="E16" s="18" t="n">
        <f aca="false">SUM(E5:E15)</f>
        <v>1</v>
      </c>
      <c r="F16" s="18" t="n">
        <f aca="false">SUM(F5:F15)</f>
        <v>1</v>
      </c>
      <c r="G16" s="19" t="n">
        <f aca="false">SUM(G5:G15)</f>
        <v>105493</v>
      </c>
      <c r="H16" s="19" t="n">
        <f aca="false">SUM(H5:H15)</f>
        <v>80370.52</v>
      </c>
      <c r="I16" s="19" t="n">
        <f aca="false">SUM(I5:I15)</f>
        <v>25122.48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4" customFormat="false" ht="21.75" hidden="false" customHeight="true" outlineLevel="0" collapsed="false">
      <c r="A4" s="3" t="s">
        <v>382</v>
      </c>
      <c r="B4" s="3" t="s">
        <v>383</v>
      </c>
    </row>
    <row r="5" customFormat="false" ht="15" hidden="false" customHeight="false" outlineLevel="0" collapsed="false">
      <c r="A5" s="20" t="s">
        <v>384</v>
      </c>
      <c r="B5" s="27" t="n">
        <f aca="false">SUM('Asset Register'!$H$5:$H$101)</f>
        <v>105493</v>
      </c>
    </row>
    <row r="6" customFormat="false" ht="15" hidden="false" customHeight="false" outlineLevel="0" collapsed="false">
      <c r="A6" s="20" t="s">
        <v>385</v>
      </c>
      <c r="B6" s="27" t="n">
        <f aca="false">SUM('Asset Register'!$J$5:$J$101)</f>
        <v>80370.52</v>
      </c>
    </row>
    <row r="7" customFormat="false" ht="15" hidden="false" customHeight="false" outlineLevel="0" collapsed="false">
      <c r="A7" s="28" t="s">
        <v>386</v>
      </c>
      <c r="B7" s="29" t="n">
        <f aca="false">SUM('Asset Register'!$K$5:$K$101)</f>
        <v>25122.48</v>
      </c>
    </row>
    <row r="8" customFormat="false" ht="15" hidden="false" customHeight="false" outlineLevel="0" collapsed="false">
      <c r="A8" s="20" t="s">
        <v>387</v>
      </c>
      <c r="B8" s="30" t="n">
        <f aca="false">Assumptions!B8</f>
        <v>235000</v>
      </c>
    </row>
    <row r="9" customFormat="false" ht="15" hidden="false" customHeight="false" outlineLevel="0" collapsed="false">
      <c r="A9" s="28" t="s">
        <v>388</v>
      </c>
      <c r="B9" s="29" t="n">
        <f aca="false">B8-B7</f>
        <v>209877.52</v>
      </c>
    </row>
    <row r="10" customFormat="false" ht="15" hidden="false" customHeight="false" outlineLevel="0" collapsed="false">
      <c r="A10" s="20" t="s">
        <v>389</v>
      </c>
      <c r="B10" s="31" t="n">
        <f aca="false">B7/B8</f>
        <v>0.106904170212766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390</v>
      </c>
    </row>
    <row r="2" customFormat="false" ht="15" hidden="false" customHeight="false" outlineLevel="0" collapsed="false">
      <c r="A2" s="2" t="s">
        <v>391</v>
      </c>
    </row>
    <row r="4" customFormat="false" ht="21.75" hidden="false" customHeight="true" outlineLevel="0" collapsed="false">
      <c r="A4" s="3" t="s">
        <v>342</v>
      </c>
      <c r="B4" s="3" t="s">
        <v>343</v>
      </c>
      <c r="C4" s="3" t="s">
        <v>16</v>
      </c>
      <c r="D4" s="3" t="s">
        <v>392</v>
      </c>
      <c r="E4" s="3" t="s">
        <v>344</v>
      </c>
    </row>
    <row r="5" customFormat="false" ht="15" hidden="false" customHeight="false" outlineLevel="0" collapsed="false">
      <c r="A5" s="20" t="s">
        <v>30</v>
      </c>
      <c r="B5" s="20" t="s">
        <v>349</v>
      </c>
      <c r="C5" s="20" t="s">
        <v>350</v>
      </c>
      <c r="D5" s="20" t="s">
        <v>393</v>
      </c>
      <c r="E5" s="20" t="s">
        <v>32</v>
      </c>
    </row>
    <row r="6" customFormat="false" ht="15" hidden="false" customHeight="false" outlineLevel="0" collapsed="false">
      <c r="A6" s="20" t="s">
        <v>57</v>
      </c>
      <c r="B6" s="20" t="s">
        <v>351</v>
      </c>
      <c r="C6" s="20" t="s">
        <v>352</v>
      </c>
      <c r="D6" s="20" t="s">
        <v>394</v>
      </c>
      <c r="E6" s="20" t="s">
        <v>32</v>
      </c>
    </row>
    <row r="7" customFormat="false" ht="15" hidden="false" customHeight="false" outlineLevel="0" collapsed="false">
      <c r="A7" s="20" t="s">
        <v>67</v>
      </c>
      <c r="B7" s="20" t="s">
        <v>353</v>
      </c>
      <c r="C7" s="20" t="s">
        <v>354</v>
      </c>
      <c r="D7" s="20" t="s">
        <v>395</v>
      </c>
      <c r="E7" s="20" t="s">
        <v>32</v>
      </c>
    </row>
    <row r="8" customFormat="false" ht="15" hidden="false" customHeight="false" outlineLevel="0" collapsed="false">
      <c r="A8" s="20" t="s">
        <v>81</v>
      </c>
      <c r="B8" s="20" t="s">
        <v>355</v>
      </c>
      <c r="C8" s="20" t="s">
        <v>356</v>
      </c>
      <c r="D8" s="20" t="s">
        <v>396</v>
      </c>
      <c r="E8" s="20" t="s">
        <v>32</v>
      </c>
    </row>
    <row r="9" customFormat="false" ht="15" hidden="false" customHeight="false" outlineLevel="0" collapsed="false">
      <c r="A9" s="20" t="s">
        <v>90</v>
      </c>
      <c r="B9" s="20" t="s">
        <v>357</v>
      </c>
      <c r="C9" s="20" t="s">
        <v>354</v>
      </c>
      <c r="D9" s="20" t="s">
        <v>397</v>
      </c>
      <c r="E9" s="20" t="s">
        <v>32</v>
      </c>
    </row>
    <row r="10" customFormat="false" ht="15" hidden="false" customHeight="false" outlineLevel="0" collapsed="false">
      <c r="A10" s="20" t="s">
        <v>101</v>
      </c>
      <c r="B10" s="20" t="s">
        <v>358</v>
      </c>
      <c r="C10" s="20" t="s">
        <v>354</v>
      </c>
      <c r="D10" s="20" t="s">
        <v>398</v>
      </c>
      <c r="E10" s="20" t="s">
        <v>32</v>
      </c>
    </row>
    <row r="11" customFormat="false" ht="15" hidden="false" customHeight="false" outlineLevel="0" collapsed="false">
      <c r="A11" s="20" t="s">
        <v>110</v>
      </c>
      <c r="B11" s="20" t="s">
        <v>359</v>
      </c>
      <c r="C11" s="20" t="s">
        <v>354</v>
      </c>
      <c r="D11" s="20" t="s">
        <v>398</v>
      </c>
      <c r="E11" s="20" t="s">
        <v>111</v>
      </c>
    </row>
    <row r="12" customFormat="false" ht="15" hidden="false" customHeight="false" outlineLevel="0" collapsed="false">
      <c r="A12" s="20" t="s">
        <v>128</v>
      </c>
      <c r="B12" s="20" t="s">
        <v>360</v>
      </c>
      <c r="C12" s="20" t="s">
        <v>354</v>
      </c>
      <c r="D12" s="20" t="s">
        <v>399</v>
      </c>
      <c r="E12" s="20" t="s">
        <v>32</v>
      </c>
    </row>
    <row r="13" customFormat="false" ht="15" hidden="false" customHeight="false" outlineLevel="0" collapsed="false">
      <c r="A13" s="20" t="s">
        <v>139</v>
      </c>
      <c r="B13" s="20" t="s">
        <v>361</v>
      </c>
      <c r="C13" s="20" t="s">
        <v>362</v>
      </c>
      <c r="D13" s="20" t="s">
        <v>400</v>
      </c>
      <c r="E13" s="20" t="s">
        <v>32</v>
      </c>
    </row>
    <row r="14" customFormat="false" ht="15" hidden="false" customHeight="false" outlineLevel="0" collapsed="false">
      <c r="A14" s="20" t="s">
        <v>148</v>
      </c>
      <c r="B14" s="20" t="s">
        <v>363</v>
      </c>
      <c r="C14" s="20" t="s">
        <v>362</v>
      </c>
      <c r="D14" s="20" t="s">
        <v>401</v>
      </c>
      <c r="E14" s="20" t="s">
        <v>149</v>
      </c>
    </row>
    <row r="15" customFormat="false" ht="15" hidden="false" customHeight="false" outlineLevel="0" collapsed="false">
      <c r="A15" s="20" t="s">
        <v>156</v>
      </c>
      <c r="B15" s="20" t="s">
        <v>364</v>
      </c>
      <c r="C15" s="20" t="s">
        <v>362</v>
      </c>
      <c r="D15" s="20" t="s">
        <v>401</v>
      </c>
      <c r="E15" s="20" t="s">
        <v>149</v>
      </c>
    </row>
    <row r="16" customFormat="false" ht="15" hidden="false" customHeight="false" outlineLevel="0" collapsed="false">
      <c r="A16" s="20" t="s">
        <v>163</v>
      </c>
      <c r="B16" s="20" t="s">
        <v>365</v>
      </c>
      <c r="C16" s="20" t="s">
        <v>366</v>
      </c>
      <c r="D16" s="20" t="s">
        <v>402</v>
      </c>
      <c r="E16" s="20" t="s">
        <v>32</v>
      </c>
    </row>
    <row r="17" customFormat="false" ht="15" hidden="false" customHeight="false" outlineLevel="0" collapsed="false">
      <c r="A17" s="20" t="s">
        <v>170</v>
      </c>
      <c r="B17" s="20" t="s">
        <v>367</v>
      </c>
      <c r="C17" s="20" t="s">
        <v>366</v>
      </c>
      <c r="D17" s="20" t="s">
        <v>403</v>
      </c>
      <c r="E17" s="20" t="s">
        <v>111</v>
      </c>
    </row>
    <row r="18" customFormat="false" ht="15" hidden="false" customHeight="false" outlineLevel="0" collapsed="false">
      <c r="A18" s="20" t="s">
        <v>179</v>
      </c>
      <c r="B18" s="20" t="s">
        <v>368</v>
      </c>
      <c r="C18" s="20" t="s">
        <v>352</v>
      </c>
      <c r="D18" s="20" t="s">
        <v>404</v>
      </c>
      <c r="E18" s="20" t="s">
        <v>32</v>
      </c>
    </row>
    <row r="19" customFormat="false" ht="15" hidden="false" customHeight="false" outlineLevel="0" collapsed="false">
      <c r="A19" s="20" t="s">
        <v>186</v>
      </c>
      <c r="B19" s="20" t="s">
        <v>369</v>
      </c>
      <c r="C19" s="20" t="s">
        <v>352</v>
      </c>
      <c r="D19" s="20" t="s">
        <v>405</v>
      </c>
      <c r="E19" s="20" t="s">
        <v>32</v>
      </c>
    </row>
    <row r="20" customFormat="false" ht="15" hidden="false" customHeight="false" outlineLevel="0" collapsed="false">
      <c r="A20" s="20" t="s">
        <v>193</v>
      </c>
      <c r="B20" s="20" t="s">
        <v>370</v>
      </c>
      <c r="C20" s="20" t="s">
        <v>356</v>
      </c>
      <c r="D20" s="20" t="s">
        <v>406</v>
      </c>
      <c r="E20" s="20" t="s">
        <v>32</v>
      </c>
    </row>
    <row r="21" customFormat="false" ht="15" hidden="false" customHeight="false" outlineLevel="0" collapsed="false">
      <c r="A21" s="20" t="s">
        <v>200</v>
      </c>
      <c r="B21" s="20" t="s">
        <v>371</v>
      </c>
      <c r="C21" s="20" t="s">
        <v>372</v>
      </c>
      <c r="D21" s="20" t="s">
        <v>407</v>
      </c>
      <c r="E21" s="20" t="s">
        <v>32</v>
      </c>
    </row>
    <row r="22" customFormat="false" ht="15" hidden="false" customHeight="false" outlineLevel="0" collapsed="false">
      <c r="A22" s="20" t="s">
        <v>209</v>
      </c>
      <c r="B22" s="20" t="s">
        <v>373</v>
      </c>
      <c r="C22" s="20" t="s">
        <v>372</v>
      </c>
      <c r="D22" s="20" t="s">
        <v>408</v>
      </c>
      <c r="E22" s="20" t="s">
        <v>32</v>
      </c>
    </row>
    <row r="23" customFormat="false" ht="15" hidden="false" customHeight="false" outlineLevel="0" collapsed="false">
      <c r="A23" s="20" t="s">
        <v>216</v>
      </c>
      <c r="B23" s="20" t="s">
        <v>374</v>
      </c>
      <c r="C23" s="20" t="s">
        <v>354</v>
      </c>
      <c r="D23" s="20" t="s">
        <v>409</v>
      </c>
      <c r="E23" s="20" t="s">
        <v>32</v>
      </c>
    </row>
    <row r="24" customFormat="false" ht="15" hidden="false" customHeight="false" outlineLevel="0" collapsed="false">
      <c r="A24" s="20" t="s">
        <v>225</v>
      </c>
      <c r="B24" s="20" t="s">
        <v>375</v>
      </c>
      <c r="C24" s="20" t="s">
        <v>366</v>
      </c>
      <c r="D24" s="20" t="s">
        <v>410</v>
      </c>
      <c r="E24" s="2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411</v>
      </c>
    </row>
    <row r="2" customFormat="false" ht="15" hidden="false" customHeight="false" outlineLevel="0" collapsed="false">
      <c r="A2" s="2" t="s">
        <v>412</v>
      </c>
    </row>
    <row r="3" customFormat="false" ht="21.75" hidden="false" customHeight="true" outlineLevel="0" collapsed="false">
      <c r="A3" s="3" t="s">
        <v>382</v>
      </c>
      <c r="B3" s="3" t="s">
        <v>413</v>
      </c>
      <c r="C3" s="3" t="s">
        <v>414</v>
      </c>
    </row>
    <row r="4" customFormat="false" ht="15" hidden="false" customHeight="false" outlineLevel="0" collapsed="false">
      <c r="A4" s="20" t="s">
        <v>415</v>
      </c>
      <c r="B4" s="32" t="n">
        <v>46300</v>
      </c>
      <c r="C4" s="33" t="s">
        <v>416</v>
      </c>
    </row>
    <row r="5" customFormat="false" ht="15" hidden="false" customHeight="false" outlineLevel="0" collapsed="false">
      <c r="A5" s="20" t="s">
        <v>417</v>
      </c>
      <c r="B5" s="34" t="s">
        <v>418</v>
      </c>
      <c r="C5" s="33" t="s">
        <v>419</v>
      </c>
    </row>
    <row r="6" customFormat="false" ht="15" hidden="false" customHeight="false" outlineLevel="0" collapsed="false">
      <c r="A6" s="20" t="s">
        <v>420</v>
      </c>
      <c r="B6" s="35" t="n">
        <v>90</v>
      </c>
      <c r="C6" s="33" t="s">
        <v>421</v>
      </c>
    </row>
    <row r="7" customFormat="false" ht="15" hidden="false" customHeight="false" outlineLevel="0" collapsed="false">
      <c r="A7" s="20" t="s">
        <v>422</v>
      </c>
      <c r="B7" s="35" t="n">
        <v>365</v>
      </c>
      <c r="C7" s="33" t="s">
        <v>423</v>
      </c>
    </row>
    <row r="8" customFormat="false" ht="15" hidden="false" customHeight="false" outlineLevel="0" collapsed="false">
      <c r="A8" s="20" t="s">
        <v>424</v>
      </c>
      <c r="B8" s="36" t="n">
        <v>235000</v>
      </c>
      <c r="C8" s="33" t="s">
        <v>425</v>
      </c>
    </row>
    <row r="11" customFormat="false" ht="15" hidden="false" customHeight="false" outlineLevel="0" collapsed="false">
      <c r="A11" s="37" t="s">
        <v>426</v>
      </c>
    </row>
    <row r="12" customFormat="false" ht="15" hidden="false" customHeight="false" outlineLevel="0" collapsed="false">
      <c r="A12" s="38" t="s">
        <v>427</v>
      </c>
    </row>
    <row r="13" customFormat="false" ht="15" hidden="false" customHeight="false" outlineLevel="0" collapsed="false">
      <c r="A13" s="38" t="s">
        <v>428</v>
      </c>
    </row>
    <row r="14" customFormat="false" ht="15" hidden="false" customHeight="false" outlineLevel="0" collapsed="false">
      <c r="A14" s="38" t="s">
        <v>429</v>
      </c>
    </row>
    <row r="15" customFormat="false" ht="15" hidden="false" customHeight="false" outlineLevel="0" collapsed="false">
      <c r="A15" s="38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2026-10-05T06:26:58Z</dcterms:created>
  <dc:creator>openpyxl</dc:creator>
  <dc:description/>
  <dc:language>en-US</dc:language>
  <cp:lastModifiedBy/>
  <dcterms:modified xsi:type="dcterms:W3CDTF">2026-10-05T06:26:58Z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